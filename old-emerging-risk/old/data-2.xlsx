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Google Drive Work\02-ricerca\01-cyber-risk-index\04-working\"/>
    </mc:Choice>
  </mc:AlternateContent>
  <xr:revisionPtr revIDLastSave="0" documentId="13_ncr:1_{4066BF83-6700-4CF7-AA1C-1B54337CEB81}" xr6:coauthVersionLast="47" xr6:coauthVersionMax="47" xr10:uidLastSave="{00000000-0000-0000-0000-000000000000}"/>
  <bookViews>
    <workbookView xWindow="-120" yWindow="-120" windowWidth="24240" windowHeight="13740" activeTab="2" xr2:uid="{00000000-000D-0000-FFFF-FFFF00000000}"/>
  </bookViews>
  <sheets>
    <sheet name="prezzi mensili" sheetId="5" r:id="rId1"/>
    <sheet name="regressione" sheetId="11" r:id="rId2"/>
    <sheet name="indici" sheetId="9" r:id="rId3"/>
    <sheet name="tassi 1 mese" sheetId="10" r:id="rId4"/>
  </sheets>
  <definedNames>
    <definedName name="TRNR_01647c3cf8e048baad883ba4d09bbe3f_2870_32" hidden="1">#REF!</definedName>
    <definedName name="TRNR_043d5b5dc62c45e5a94b8a6ea3c70bb2_133_45" hidden="1">'prezzi mensili'!#REF!</definedName>
    <definedName name="TRNR_04c20b0b5c2b4d2488c2ac1dd93e6e64_134_133" hidden="1">#REF!</definedName>
    <definedName name="TRNR_09c524d122964a91a99c13313573ee77_134_133" hidden="1">'prezzi mensili'!#REF!</definedName>
    <definedName name="TRNR_09ffe4c0cf574e6486c48b49916533aa_2870_124" hidden="1">#REF!</definedName>
    <definedName name="TRNR_0cb04e365cf947d0ac8e86fc4051c058_2870_124" hidden="1">#REF!</definedName>
    <definedName name="TRNR_0e725bce0e4f49b0ae468a624a7f298d_133_8" hidden="1">'prezzi mensili'!#REF!</definedName>
    <definedName name="TRNR_0ef2fdd3ae0c41bab21f143f76891b44_2870_124" hidden="1">#REF!</definedName>
    <definedName name="TRNR_10288a7051bc487db2ef968bcd1f64b1_2870_124" hidden="1">#REF!</definedName>
    <definedName name="TRNR_12b553d868dd400482aa183321329c31_2870_124" hidden="1">#REF!</definedName>
    <definedName name="TRNR_12f8d4f8728f4e249a05229421fe5c69_133_9" hidden="1">'prezzi mensili'!#REF!</definedName>
    <definedName name="TRNR_12fad3201ab84e7cbf0e9c91eaf4db8b_134_2" hidden="1">'tassi 1 mese'!$A$1</definedName>
    <definedName name="TRNR_135cec9bae4f425c9d718269b6927047_133_34" hidden="1">'prezzi mensili'!#REF!</definedName>
    <definedName name="TRNR_14e1c505b964474a8288fbd268fbbbbb_2870_124" hidden="1">#REF!</definedName>
    <definedName name="TRNR_18346ba7e19a4722839dcd7e2b210f05_2870_124" hidden="1">#REF!</definedName>
    <definedName name="TRNR_190b9c926f554f8a82500482d54eabb6_2870_32" hidden="1">#REF!</definedName>
    <definedName name="TRNR_1a463b37c2aa4957b1ae342a3dc15549_2870_32" hidden="1">#REF!</definedName>
    <definedName name="TRNR_1b9cd45976d24739bcd62ecd60b942f9_133_121" hidden="1">'prezzi mensili'!#REF!</definedName>
    <definedName name="TRNR_1d07d04f8dad490a9518d0f85056c7a8_134_131" hidden="1">'prezzi mensili'!#REF!</definedName>
    <definedName name="TRNR_214f95f516354451b73134c17fc787b6_133_119" hidden="1">'prezzi mensili'!#REF!</definedName>
    <definedName name="TRNR_27250786956541c99ccb3b54931209de_133_30" hidden="1">'prezzi mensili'!#REF!</definedName>
    <definedName name="TRNR_272dd47e3ba24463aa4c2712e7cb3bfc_2870_124" hidden="1">#REF!</definedName>
    <definedName name="TRNR_2784c05ce62c4232ae7f60c240fadce6_133_41" hidden="1">'prezzi mensili'!#REF!</definedName>
    <definedName name="TRNR_289edadbb0974e3cb9d80062ec726cfb_133_4" hidden="1">'prezzi mensili'!#REF!</definedName>
    <definedName name="TRNR_29aa797b9edd4019a057d1f5b284f824_133_93" hidden="1">'prezzi mensili'!#REF!</definedName>
    <definedName name="TRNR_2a1f669533e4417e83ffc2cdef413655_134_133" hidden="1">'prezzi mensili'!#REF!</definedName>
    <definedName name="TRNR_2a7fba3a2273474881af394e2f3c94db_133_48" hidden="1">'prezzi mensili'!#REF!</definedName>
    <definedName name="TRNR_2c9ba17955c44c40924bed4f093f6d38_133_22" hidden="1">'prezzi mensili'!#REF!</definedName>
    <definedName name="TRNR_2d14e85fb8f44636a006f841d4f5cc9b_2870_124" hidden="1">#REF!</definedName>
    <definedName name="TRNR_3055f56667f344e8a3070956578de750_134_133" hidden="1">#REF!</definedName>
    <definedName name="TRNR_31cf1079963b4694851a8fedcf5c6ee6_2870_124" hidden="1">#REF!</definedName>
    <definedName name="TRNR_32f625b1ae064b83b94bf19e90d68f08_2869_36" hidden="1">#REF!</definedName>
    <definedName name="TRNR_3378f98d2ab743b2999ad7a2a76bf125_134_133" hidden="1">'prezzi mensili'!#REF!</definedName>
    <definedName name="TRNR_36142ca40ec14bb89dbb5f4712c2741a_133_9" hidden="1">'prezzi mensili'!#REF!</definedName>
    <definedName name="TRNR_38270c5e577a41e888d7077c55f230f3_133_22" hidden="1">'prezzi mensili'!#REF!</definedName>
    <definedName name="TRNR_393394d75eab4ac8af47dd09b60fdf45_133_17" hidden="1">'prezzi mensili'!#REF!</definedName>
    <definedName name="TRNR_39ae4dfca63040e69001fe56e813a99c_134_133" hidden="1">'prezzi mensili'!#REF!</definedName>
    <definedName name="TRNR_3b23b8dd1b204a4f9e9d8147468bd3af_133_15" hidden="1">'prezzi mensili'!#REF!</definedName>
    <definedName name="TRNR_3ee03df1b8a5405ca664242e6874785e_2870_124" hidden="1">#REF!</definedName>
    <definedName name="TRNR_3f19cfaf83e54edd9445f6bd3957ae1e_133_35" hidden="1">'prezzi mensili'!#REF!</definedName>
    <definedName name="TRNR_40250dc39ee5446f9e1029bb4293d1da_2871_532" hidden="1">#REF!</definedName>
    <definedName name="TRNR_41cac58719c74d049dd5f371e6107af0_2871_532" hidden="1">#REF!</definedName>
    <definedName name="TRNR_44e452195d614577b2e5ae480589b33c_133_39" hidden="1">'prezzi mensili'!#REF!</definedName>
    <definedName name="TRNR_4a9acb0a1eb7498cb081d638e85e53d3_2871_532" hidden="1">#REF!</definedName>
    <definedName name="TRNR_4a9ed138dd774be29463671931c2745a_2870_124" hidden="1">#REF!</definedName>
    <definedName name="TRNR_4b5a5fc620e04cd4b3c51f120e026e81_2870_124" hidden="1">#REF!</definedName>
    <definedName name="TRNR_4ca6a9b08d2243d780044300753f3666_2870_124" hidden="1">#REF!</definedName>
    <definedName name="TRNR_4cb6535e3d084e72a7f851f3201aa7b9_134_133" hidden="1">#REF!</definedName>
    <definedName name="TRNR_4d2dde698dac4306a7aa9e3fe89209ed_134_2" hidden="1">'tassi 1 mese'!$A$1</definedName>
    <definedName name="TRNR_511e2c1db2834368add07cfb0a369eab_133_8" hidden="1">'prezzi mensili'!#REF!</definedName>
    <definedName name="TRNR_514d43253b004674a2b79c2e13f925a4_2871_532" hidden="1">#REF!</definedName>
    <definedName name="TRNR_52976310e873467e8b145a5a1b4f564d_133_11" hidden="1">'prezzi mensili'!#REF!</definedName>
    <definedName name="TRNR_52a87fbb0003452387e989f03fb73ed1_2870_124" hidden="1">#REF!</definedName>
    <definedName name="TRNR_55a25cdb3ddb45489d2ebd7283bb63bc_2870_32" hidden="1">#REF!</definedName>
    <definedName name="TRNR_576d6e56e6444196a4ee50202e83de3b_133_45" hidden="1">'prezzi mensili'!#REF!</definedName>
    <definedName name="TRNR_57be2b886cd84f54b16b7d97532ff55b_2870_124" hidden="1">#REF!</definedName>
    <definedName name="TRNR_5baf8ab419874209b346873b35c8588d_134_133" hidden="1">#REF!</definedName>
    <definedName name="TRNR_5c117631b63a41019feda8c832c8370f_2870_124" hidden="1">#REF!</definedName>
    <definedName name="TRNR_5cfeda0f9d7c4eb584d98a8813ca630f_2870_124" hidden="1">#REF!</definedName>
    <definedName name="TRNR_6178fcf445dc4f9c81ca5e13599e86aa_134_133" hidden="1">#REF!</definedName>
    <definedName name="TRNR_61f3af06c97d4940975279eb57c97ddb_2870_32" hidden="1">#REF!</definedName>
    <definedName name="TRNR_6259123898604faaa7f546bf9ce9e704_2870_124" hidden="1">#REF!</definedName>
    <definedName name="TRNR_63549600ae8140888d74a6fbb892b9b5_134_133" hidden="1">#REF!</definedName>
    <definedName name="TRNR_647217e280cc40fa8afeb54689feb415_2870_124" hidden="1">#REF!</definedName>
    <definedName name="TRNR_660a13cb2f98476485c31e643b5a13df_2870_124" hidden="1">#REF!</definedName>
    <definedName name="TRNR_66c2a53ca943473391c3981683f21611_133_118" hidden="1">'prezzi mensili'!#REF!</definedName>
    <definedName name="TRNR_68aba258e8b948ec8b67e385b0272dae_134_133" hidden="1">'prezzi mensili'!#REF!</definedName>
    <definedName name="TRNR_69a0dc7cacaf470da6c099a015a3126a_134_3" hidden="1">'tassi 1 mese'!$A$1</definedName>
    <definedName name="TRNR_6b5e717a7a4b47ad9f25c7fffd4b1ded_133_34" hidden="1">'prezzi mensili'!#REF!</definedName>
    <definedName name="TRNR_6d1ba87310a8474ab814b3794256940b_133_85" hidden="1">'prezzi mensili'!#REF!</definedName>
    <definedName name="TRNR_6db784bbdb554b2cb199d32c220e790c_133_41" hidden="1">'prezzi mensili'!#REF!</definedName>
    <definedName name="TRNR_6eb27b31613a429098a77f06ee539931_133_7" hidden="1">'prezzi mensili'!#REF!</definedName>
    <definedName name="TRNR_70a2ed41a0df45d1b03bc1a16096b04a_133_47" hidden="1">'prezzi mensili'!#REF!</definedName>
    <definedName name="TRNR_71f987f5a0be44da9ccf67354d19e261_134_7" hidden="1">indici!$A$1</definedName>
    <definedName name="TRNR_73c69ca90a3345189175c0234ebabcfa_134_133" hidden="1">#REF!</definedName>
    <definedName name="TRNR_7450304bd6c64113a87867a27b2d8e06_2870_124" hidden="1">#REF!</definedName>
    <definedName name="TRNR_7819dfd4bcb14e5a81ab660b36f285c9_134_133" hidden="1">'prezzi mensili'!#REF!</definedName>
    <definedName name="TRNR_78def8d73c2e45d999d7dd749d42f9b8_134_6" hidden="1">indici!$A$1</definedName>
    <definedName name="TRNR_7d120103e31d442a862586bcc6d976e5_2870_36" hidden="1">#REF!</definedName>
    <definedName name="TRNR_7de81b5a51824f719171ad0b3651cf46_133_3" hidden="1">'prezzi mensili'!#REF!</definedName>
    <definedName name="TRNR_7eb73fb2ecd84a58bde05450775ccb00_2870_32" hidden="1">#REF!</definedName>
    <definedName name="TRNR_7ef18821851d45afa849d26607be1677_134_133" hidden="1">#REF!</definedName>
    <definedName name="TRNR_7fdfab34a4764f2cbb2b37f6a03af105_134_133" hidden="1">#REF!</definedName>
    <definedName name="TRNR_8080b23e4f3f49b58951c716e759c64a_133_84" hidden="1">'prezzi mensili'!#REF!</definedName>
    <definedName name="TRNR_80ccaaa8ffcd4cb0be8850a1116c25da_134_6" hidden="1">indici!$A$1</definedName>
    <definedName name="TRNR_80e60ef17796422b96c6be2441fe7445_134_133" hidden="1">'prezzi mensili'!#REF!</definedName>
    <definedName name="TRNR_82efddef686d4850b4735b719b72d1a3_2871_532" hidden="1">#REF!</definedName>
    <definedName name="TRNR_830286263de64858a1f0830590e9b5c7_134_133" hidden="1">'prezzi mensili'!#REF!</definedName>
    <definedName name="TRNR_842ded4c9d5645c184e56159f144c8af_2870_124" hidden="1">#REF!</definedName>
    <definedName name="TRNR_86ab02a14a824a43ad1089d02bd8fb9b_134_133" hidden="1">#REF!</definedName>
    <definedName name="TRNR_86c2d2f5e9ea4924a4090575571750bb_133_103" hidden="1">'prezzi mensili'!#REF!</definedName>
    <definedName name="TRNR_8780d258ae93474cba2fb6299063ca31_2870_32" hidden="1">#REF!</definedName>
    <definedName name="TRNR_8838fc41fbe6468fac940b8ace2de83c_133_5" hidden="1">'prezzi mensili'!#REF!</definedName>
    <definedName name="TRNR_8b03255612534c338fa33cba0f39cdf5_2870_124" hidden="1">#REF!</definedName>
    <definedName name="TRNR_8d0042b26f434476b8760de8a49a8a99_133_8" hidden="1">'prezzi mensili'!#REF!</definedName>
    <definedName name="TRNR_8d37abb8df72435583dd8711260c6c88_2870_40" hidden="1">#REF!</definedName>
    <definedName name="TRNR_8d8771820f8a4d0f91dbfb8926633536_2870_124" hidden="1">#REF!</definedName>
    <definedName name="TRNR_8e0249681b214bbd9fc3d0b5a5cee9a3_133_29" hidden="1">'prezzi mensili'!#REF!</definedName>
    <definedName name="TRNR_8f2af97796214ee1b3a9f808254b238b_133_48" hidden="1">'prezzi mensili'!#REF!</definedName>
    <definedName name="TRNR_8fb708251f564a11a92f2fd66e1c4f70_2870_32" hidden="1">#REF!</definedName>
    <definedName name="TRNR_9253e7b4a04d4805a124659dc70eb105_133_44" hidden="1">'prezzi mensili'!#REF!</definedName>
    <definedName name="TRNR_93e9e1a6ba904bd3a6dafc11efd2b423_133_9" hidden="1">'prezzi mensili'!#REF!</definedName>
    <definedName name="TRNR_951c46331910483a83bbc84788b01b5a_2870_124" hidden="1">#REF!</definedName>
    <definedName name="TRNR_9631b13b65e64602ac99fe3bace4570f_134_133" hidden="1">#REF!</definedName>
    <definedName name="TRNR_9724df2bc57641058ed0572557680271_133_10" hidden="1">'prezzi mensili'!#REF!</definedName>
    <definedName name="TRNR_99b705a686784865801b6c635b180555_133_113" hidden="1">'prezzi mensili'!#REF!</definedName>
    <definedName name="TRNR_9b737e91020c4be9832e6706ae1a6ca5_2869_36" hidden="1">#REF!</definedName>
    <definedName name="TRNR_9b91ee2b89e743baa42e17d3f756118a_134_133" hidden="1">#REF!</definedName>
    <definedName name="TRNR_9c72e9e3da1f443f909cac1ae979732b_2870_32" hidden="1">#REF!</definedName>
    <definedName name="TRNR_9d9e1a21a639410e96f18f42874a7589_2870_124" hidden="1">#REF!</definedName>
    <definedName name="TRNR_9e5ea9af717f4b4ca6b8d6ef14118465_2870_32" hidden="1">#REF!</definedName>
    <definedName name="TRNR_9f91c36a3d9e4048a025885c2582b46d_133_9" hidden="1">'prezzi mensili'!#REF!</definedName>
    <definedName name="TRNR_a082a894f7c04d63990b3609af817bb9_133_1" hidden="1">'prezzi mensili'!#REF!</definedName>
    <definedName name="TRNR_a116cd9dd9ea4d9380cf45353bbf0844_134_133" hidden="1">#REF!</definedName>
    <definedName name="TRNR_a30bdb33fd434d4193abce5745716f89_2871_532" hidden="1">#REF!</definedName>
    <definedName name="TRNR_a35e2bcece0a4fac9067b4f7933cbb02_2870_124" hidden="1">#REF!</definedName>
    <definedName name="TRNR_a3bfe0e31ab84214ba77585911f1656e_134_121" hidden="1">'prezzi mensili'!#REF!</definedName>
    <definedName name="TRNR_a3ce3c4c00c24fa49b8d227d001240d7_134_133" hidden="1">'prezzi mensili'!#REF!</definedName>
    <definedName name="TRNR_a5c00ef2b86c4f77859f200f1d737107_134_131" hidden="1">'prezzi mensili'!#REF!</definedName>
    <definedName name="TRNR_a769c46810814eaba2df4891143db798_2870_32" hidden="1">#REF!</definedName>
    <definedName name="TRNR_a8afecd845b44f9aaaf9465ae1d5817b_2870_124" hidden="1">#REF!</definedName>
    <definedName name="TRNR_a8bd50a2f0ed4e34979b364ef8d572e8_2871_532" hidden="1">#REF!</definedName>
    <definedName name="TRNR_a8d4649647d0464b9eb0a4eaef3a0f82_133_40" hidden="1">'prezzi mensili'!#REF!</definedName>
    <definedName name="TRNR_ab0d5d81b83042aea75f2667a2e3c7e4_2870_124" hidden="1">#REF!</definedName>
    <definedName name="TRNR_ab13ac1f43ab4e40909cb4ffe748a8cd_2870_32" hidden="1">#REF!</definedName>
    <definedName name="TRNR_ab86a35319d84a45b41676641640aaf5_2871_532" hidden="1">#REF!</definedName>
    <definedName name="TRNR_b0c5528d7eed491884ae7e937734fe37_134_133" hidden="1">'prezzi mensili'!#REF!</definedName>
    <definedName name="TRNR_b104bd7252704861a345c1b00bf014f3_134_6" hidden="1">indici!$A$1</definedName>
    <definedName name="TRNR_b42750c8972246518dfb1cc55117a093_133_39" hidden="1">'prezzi mensili'!#REF!</definedName>
    <definedName name="TRNR_b427607072c04d5cae1c54ca2271d944_133_15" hidden="1">'prezzi mensili'!#REF!</definedName>
    <definedName name="TRNR_b8375aabd42e4586b90ad3aed44a0948_134_6" hidden="1">indici!$A$1</definedName>
    <definedName name="TRNR_b8ba654de29741ffae6f9ed42e98cd55_2870_124" hidden="1">#REF!</definedName>
    <definedName name="TRNR_b94a7eace2fd49d7a1e344f3981b5039_134_120" hidden="1">'prezzi mensili'!#REF!</definedName>
    <definedName name="TRNR_b96b0fc993974196af011da94a39cc1b_134_133" hidden="1">'prezzi mensili'!#REF!</definedName>
    <definedName name="TRNR_b9d3a7c43c54418789ea0546046c38df_133_84" hidden="1">'prezzi mensili'!#REF!</definedName>
    <definedName name="TRNR_ba15bb57058449218e9aa930d7a718f5_133_26" hidden="1">'prezzi mensili'!#REF!</definedName>
    <definedName name="TRNR_bcb3d1d23ad2421c9a0581ea41f02492_2870_124" hidden="1">#REF!</definedName>
    <definedName name="TRNR_bce7d0f30fec40848891b5daeb46d0c3_2870_124" hidden="1">#REF!</definedName>
    <definedName name="TRNR_bd400ef878bb4b76af99786d9e63ef97_133_10" hidden="1">'prezzi mensili'!#REF!</definedName>
    <definedName name="TRNR_bde6995a347b401ab5479ac67c6f622a_2870_32" hidden="1">#REF!</definedName>
    <definedName name="TRNR_bf37846fc7a74bce8733cbab0148cf18_2870_124" hidden="1">#REF!</definedName>
    <definedName name="TRNR_bfb868a415b54307aca7ddb57d83cdd0_133_37" hidden="1">'prezzi mensili'!#REF!</definedName>
    <definedName name="TRNR_c0e3ed943d3e415dadb86cc202e3be4b_133_31" hidden="1">'prezzi mensili'!#REF!</definedName>
    <definedName name="TRNR_c5a645ecb0a744578e3f5c809a9224f7_2870_32" hidden="1">#REF!</definedName>
    <definedName name="TRNR_c6b55bd60f534748a21ecaf90755e031_3_2" hidden="1">'tassi 1 mese'!$A$1</definedName>
    <definedName name="TRNR_c921a0d9638c44d79700cc496af37a5f_134_133" hidden="1">'prezzi mensili'!#REF!</definedName>
    <definedName name="TRNR_c9387d8050554a65adb83081e221499e_134_133" hidden="1">'prezzi mensili'!#REF!</definedName>
    <definedName name="TRNR_c9993b411a9f47ffb627e1982f92e525_2870_44" hidden="1">#REF!</definedName>
    <definedName name="TRNR_ca92a71eb71b427182e6396285b15880_2871_532" hidden="1">#REF!</definedName>
    <definedName name="TRNR_cc6ca4f32e4346c689065e99e27bf7d1_134_133" hidden="1">'prezzi mensili'!#REF!</definedName>
    <definedName name="TRNR_ccf1c2dcd8004c0d974f498f017aa731_133_25" hidden="1">'prezzi mensili'!#REF!</definedName>
    <definedName name="TRNR_cd0dc0c0dbf4410399abb13910ef5516_134_6" hidden="1">indici!$A$1</definedName>
    <definedName name="TRNR_ce9d503cf0444b0a84935d47af82a476_133_92" hidden="1">'prezzi mensili'!#REF!</definedName>
    <definedName name="TRNR_cf5419288e7049e1a9fa429e69de1e5b_134_133" hidden="1">#REF!</definedName>
    <definedName name="TRNR_d0db44390d3d4f22b3118149ee2d8826_133_48" hidden="1">'prezzi mensili'!#REF!</definedName>
    <definedName name="TRNR_d17d04d7669c419781bcf27cb8a3fce2_133_47" hidden="1">'prezzi mensili'!#REF!</definedName>
    <definedName name="TRNR_d238850c46b046e4b84ec12132f36f69_133_9" hidden="1">'prezzi mensili'!#REF!</definedName>
    <definedName name="TRNR_d6698d6e87ad4efeaccf7b52fcc1e0d1_133_37" hidden="1">'prezzi mensili'!#REF!</definedName>
    <definedName name="TRNR_d8b2f68287f84e569a94c8efff21bd0b_134_6" hidden="1">indici!$A$1</definedName>
    <definedName name="TRNR_d9e17e76370b40d7b169ce4bc1bde2b4_133_49" hidden="1">'prezzi mensili'!#REF!</definedName>
    <definedName name="TRNR_da0f388b57134ff8859aa160ee64ae60_133_10" hidden="1">'prezzi mensili'!#REF!</definedName>
    <definedName name="TRNR_da4517b5203b4627bb7d4f86176b1a5f_133_46" hidden="1">'prezzi mensili'!#REF!</definedName>
    <definedName name="TRNR_da82667e58844635a8de64fe852aa290_2870_124" hidden="1">#REF!</definedName>
    <definedName name="TRNR_dbe7ec4104bf44c38e7f4d7fb82f3e56_134_133" hidden="1">#REF!</definedName>
    <definedName name="TRNR_dc598ab15eff4dea94876aae870981a7_133_104" hidden="1">'prezzi mensili'!#REF!</definedName>
    <definedName name="TRNR_dd053ff2297740898749701f86f7900e_133_18" hidden="1">'prezzi mensili'!#REF!</definedName>
    <definedName name="TRNR_dd3a4dd6c54247d5a7d10fc03c6a821c_2870_124" hidden="1">#REF!</definedName>
    <definedName name="TRNR_e205f715f9c2484dba3cef86bc3b9855_2871_532" hidden="1">#REF!</definedName>
    <definedName name="TRNR_e2a51eb0a86d4274b95b086f227f9209_134_133" hidden="1">#REF!</definedName>
    <definedName name="TRNR_e366b7ed573f4c8ab33fb4a8dc8c7dcf_133_97" hidden="1">'prezzi mensili'!#REF!</definedName>
    <definedName name="TRNR_e7a5b4c7003c4d16a46abd6259b9b0e7_133_18" hidden="1">'prezzi mensili'!#REF!</definedName>
    <definedName name="TRNR_e7c959020da5408b984b758b4cf9d945_133_2" hidden="1">'prezzi mensili'!#REF!</definedName>
    <definedName name="TRNR_e80da253df4f45a2a32371cd71d7c9a3_2871_532" hidden="1">#REF!</definedName>
    <definedName name="TRNR_e9b0f6e462b64195adf7a8523a17ec28_134_133" hidden="1">#REF!</definedName>
    <definedName name="TRNR_ea0cb15f0fcd4412acb01c34fd7d34b6_133_60" hidden="1">'prezzi mensili'!#REF!</definedName>
    <definedName name="TRNR_ec32a82c35f0482ba5c2f530e27112fd_134_133" hidden="1">#REF!</definedName>
    <definedName name="TRNR_ecd879ec6a394eb885cc510efad21a12_2870_124" hidden="1">#REF!</definedName>
    <definedName name="TRNR_ee1b162b45874e06800c77ff138a3d8a_2870_124" hidden="1">#REF!</definedName>
    <definedName name="TRNR_f0bcf93a64d74ebcbe9b83caa9af1904_2870_32" hidden="1">#REF!</definedName>
    <definedName name="TRNR_f229f48ec9244563ad0c7d36a01fd911_133_31" hidden="1">'prezzi mensili'!#REF!</definedName>
    <definedName name="TRNR_f24940c6ef044beebd2e4bf753baef9a_2870_40" hidden="1">#REF!</definedName>
    <definedName name="TRNR_f2dac956411d4b9fb0d57bef1164d8f9_133_40" hidden="1">'prezzi mensili'!#REF!</definedName>
    <definedName name="TRNR_f4f17d53988f42db859334e471bf0369_2870_124" hidden="1">#REF!</definedName>
    <definedName name="TRNR_f53fde4ef743485486f80d694204a995_2870_124" hidden="1">#REF!</definedName>
    <definedName name="TRNR_f650c25c6ffe4354ab9bf38bd62a9d5f_133_40" hidden="1">'prezzi mensili'!#REF!</definedName>
    <definedName name="TRNR_f65ac1b297804a3889240b522b779a6c_2871_532" hidden="1">#REF!</definedName>
    <definedName name="TRNR_f8f75543fb594257ad2f448c12897096_133_21" hidden="1">'prezzi mensili'!#REF!</definedName>
    <definedName name="TRNR_fa2852a312ac4c6f8cf5fd6d6deee067_134_133" hidden="1">#REF!</definedName>
    <definedName name="TRNR_fdff10aff577413c961bd34d08e7648c_134_133" hidden="1">#REF!</definedName>
    <definedName name="TRNR_feaa3a4b42ed490daa98f41aef2beae1_2871_532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9" l="1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3" i="9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3" i="5"/>
  <c r="N3" i="5"/>
  <c r="O3" i="5"/>
  <c r="P3" i="5"/>
  <c r="Q3" i="5"/>
  <c r="R3" i="5"/>
  <c r="S3" i="5"/>
  <c r="T3" i="5"/>
  <c r="U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3" i="5"/>
  <c r="U1" i="5"/>
  <c r="M1" i="5"/>
  <c r="N1" i="5"/>
  <c r="O1" i="5"/>
  <c r="P1" i="5"/>
  <c r="Q1" i="5"/>
  <c r="R1" i="5"/>
  <c r="S1" i="5"/>
  <c r="T1" i="5"/>
  <c r="L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umberto cherubini</author>
  </authors>
  <commentList>
    <comment ref="A1" authorId="0" shapeId="0" xr:uid="{C42831F0-6EDA-492D-8B1E-13633E6B7703}">
      <text>
        <r>
          <rPr>
            <sz val="9"/>
            <color indexed="81"/>
            <rFont val="Tahoma"/>
            <family val="2"/>
          </rPr>
          <t>=DSGRID("NASA100,NASCOMP,S&amp;PCOMP,SP05SGR,SP05SVA,SP5SISW","PI","2014-01-01","","M","RowHeader=true;ColHeader=true;Code=true;Curn=true;DispSeriesDescription=false;YearlyTSFormat=false;QuarterlyTSFormat=false;Clearself=y;MonthlyTSFormat=True;RTREQUESTROW=DFORequestTable1_Equity.xlsm|5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umberto cherubini</author>
    <author>tc={3A2E8774-D075-43D7-B0CD-663212233E85}</author>
  </authors>
  <commentList>
    <comment ref="A1" authorId="0" shapeId="0" xr:uid="{D84BB796-CA58-4315-B515-FE62143410A7}">
      <text>
        <r>
          <rPr>
            <sz val="9"/>
            <color indexed="81"/>
            <rFont val="Tahoma"/>
            <family val="2"/>
          </rPr>
          <t>=DSGRID("USTBSMR4R,USYCPF1M,USGBILL3"," ","2014-01-01","","M","RowHeader=true;ColHeader=true;Code=true;Curn=true;DispSeriesDescription=false;YearlyTSFormat=false;QuarterlyTSFormat=false;Clearself=y;MonthlyTSFormat=True;RTREQUESTROW=DFORequestTable1_Equity.xlsm|6")</t>
        </r>
      </text>
    </comment>
    <comment ref="E1" authorId="1" shapeId="0" xr:uid="{3A2E8774-D075-43D7-B0CD-663212233E8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Log return del foglio 1 * 12 e poi sottrarre questo valore</t>
      </text>
    </comment>
  </commentList>
</comments>
</file>

<file path=xl/sharedStrings.xml><?xml version="1.0" encoding="utf-8"?>
<sst xmlns="http://schemas.openxmlformats.org/spreadsheetml/2006/main" count="47" uniqueCount="40">
  <si>
    <t>Name</t>
  </si>
  <si>
    <t>CURRENCY</t>
  </si>
  <si>
    <t>NA</t>
  </si>
  <si>
    <t>Code</t>
  </si>
  <si>
    <t>@SPCB</t>
  </si>
  <si>
    <t>U:NOC</t>
  </si>
  <si>
    <t>@MANH</t>
  </si>
  <si>
    <t>@GEN</t>
  </si>
  <si>
    <t>@ZIXI</t>
  </si>
  <si>
    <t>@INTZ</t>
  </si>
  <si>
    <t>@CHKP</t>
  </si>
  <si>
    <t>@VRSN</t>
  </si>
  <si>
    <t>U:NTIP</t>
  </si>
  <si>
    <t>@TMICF</t>
  </si>
  <si>
    <t>NASDAQ 100 - PRICE INDEX</t>
  </si>
  <si>
    <t>NASDAQ COMPOSITE - PRICE INDEX</t>
  </si>
  <si>
    <t>S&amp;P 500 COMPOSITE - PRICE INDEX</t>
  </si>
  <si>
    <t>S&amp;P 500 GROWTH - PRICE INDEX</t>
  </si>
  <si>
    <t>S&amp;P 500 VALUE - PRICE INDEX</t>
  </si>
  <si>
    <t>S&amp;P 500 INTERNET SVS &amp; INF - PRICE INDEX</t>
  </si>
  <si>
    <t>USTBSMR4R</t>
  </si>
  <si>
    <t>US TREASURY BILL SECONDARY MARKET RATE ON DISCOUNT BASIS-4 WEEKS</t>
  </si>
  <si>
    <t>US COMMERCIAL PAPER RATE,DISCOUNT BASIS- FINANCIAL, 1 MONTH NADJ</t>
  </si>
  <si>
    <t>USYCPF1M</t>
  </si>
  <si>
    <t>US TREASURY BILL RATE - 3 MONTH (EP) NADJ</t>
  </si>
  <si>
    <t>USGBILL3</t>
  </si>
  <si>
    <t>Date</t>
  </si>
  <si>
    <t>Data</t>
  </si>
  <si>
    <t>NASDAQ 100 - YIELD</t>
  </si>
  <si>
    <t>CYBER</t>
  </si>
  <si>
    <t>@SPCB-YIELD</t>
  </si>
  <si>
    <t>U:NOC-YIELD</t>
  </si>
  <si>
    <t>@MANH-YIELD</t>
  </si>
  <si>
    <t>@GEN-YIELD</t>
  </si>
  <si>
    <t>@ZIXI-YIELD</t>
  </si>
  <si>
    <t>@INTZ-YIELD</t>
  </si>
  <si>
    <t>@CHKP-YIELD</t>
  </si>
  <si>
    <t>@VRSN-YIELD</t>
  </si>
  <si>
    <t>U:NTIP-YIELD</t>
  </si>
  <si>
    <t>@TMICF-YIELD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</si>
</sst>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0" borderId="2" xfId="0" applyBorder="1"/>
    <xf numFmtId="14" fontId="0" fillId="0" borderId="3" xfId="0" applyNumberFormat="1" applyBorder="1"/>
    <xf numFmtId="0" fontId="0" fillId="0" borderId="4" xfId="0" applyBorder="1"/>
    <xf numFmtId="0" fontId="0" fillId="2" borderId="4" xfId="0" applyFill="1" applyBorder="1"/>
    <xf numFmtId="0" fontId="0" fillId="0" borderId="5" xfId="0" applyBorder="1"/>
    <xf numFmtId="14" fontId="0" fillId="0" borderId="6" xfId="0" applyNumberFormat="1" applyBorder="1"/>
    <xf numFmtId="0" fontId="0" fillId="0" borderId="7" xfId="0" applyBorder="1"/>
    <xf numFmtId="14" fontId="0" fillId="0" borderId="8" xfId="0" applyNumberFormat="1" applyBorder="1"/>
    <xf numFmtId="0" fontId="0" fillId="0" borderId="9" xfId="0" applyBorder="1"/>
    <xf numFmtId="0" fontId="0" fillId="2" borderId="9" xfId="0" applyFill="1" applyBorder="1"/>
    <xf numFmtId="0" fontId="0" fillId="0" borderId="10" xfId="0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4" borderId="0" xfId="0" applyFill="1"/>
    <xf numFmtId="0" fontId="0" fillId="3" borderId="4" xfId="0" applyFill="1" applyBorder="1"/>
    <xf numFmtId="0" fontId="0" fillId="3" borderId="5" xfId="0" applyFill="1" applyBorder="1"/>
    <xf numFmtId="0" fontId="0" fillId="3" borderId="0" xfId="0" applyFill="1"/>
    <xf numFmtId="0" fontId="0" fillId="3" borderId="7" xfId="0" applyFill="1" applyBorder="1"/>
    <xf numFmtId="0" fontId="0" fillId="3" borderId="9" xfId="0" applyFill="1" applyBorder="1"/>
    <xf numFmtId="0" fontId="0" fillId="3" borderId="10" xfId="0" applyFill="1" applyBorder="1"/>
    <xf numFmtId="0" fontId="0" fillId="5" borderId="0" xfId="0" applyFill="1"/>
    <xf numFmtId="0" fontId="0" fillId="5" borderId="2" xfId="0" applyFill="1" applyBorder="1"/>
    <xf numFmtId="0" fontId="0" fillId="5" borderId="1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CCFF99"/>
      <color rgb="FFFFFF99"/>
      <color rgb="FF969696"/>
      <color rgb="FF808080"/>
      <color rgb="FF5F5F5F"/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ovanni Della Lunga" id="{9468BFF4-97EB-44F0-9F8D-A6CC14C47E10}" userId="S::giovanni.dellalunga@unibo.it::cf6081f0-3fca-4262-b5f4-06784544d30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1-02T11:39:53.99" personId="{9468BFF4-97EB-44F0-9F8D-A6CC14C47E10}" id="{3A2E8774-D075-43D7-B0CD-663212233E85}">
    <text>Log return del foglio 1 * 12 e poi sottrarre questo valore</text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0DA6-ADAA-4DF1-9738-7C1F8BB6ABB6}">
  <sheetPr codeName="Foglio1"/>
  <dimension ref="A1:U133"/>
  <sheetViews>
    <sheetView topLeftCell="C1" workbookViewId="0">
      <selection activeCell="O14" sqref="O14"/>
    </sheetView>
  </sheetViews>
  <sheetFormatPr defaultRowHeight="15" x14ac:dyDescent="0.25"/>
  <cols>
    <col min="1" max="1" width="10.7109375" bestFit="1" customWidth="1"/>
    <col min="2" max="4" width="9" bestFit="1" customWidth="1"/>
    <col min="5" max="5" width="8" bestFit="1" customWidth="1"/>
    <col min="6" max="6" width="6.140625" bestFit="1" customWidth="1"/>
    <col min="7" max="7" width="9" bestFit="1" customWidth="1"/>
    <col min="8" max="8" width="7.5703125" bestFit="1" customWidth="1"/>
    <col min="9" max="9" width="7.7109375" bestFit="1" customWidth="1"/>
    <col min="10" max="10" width="7" bestFit="1" customWidth="1"/>
    <col min="11" max="11" width="8.28515625" bestFit="1" customWidth="1"/>
    <col min="12" max="12" width="12.7109375" style="2" bestFit="1" customWidth="1"/>
    <col min="13" max="13" width="12.28515625" style="2" bestFit="1" customWidth="1"/>
    <col min="14" max="14" width="14.140625" style="2" bestFit="1" customWidth="1"/>
    <col min="15" max="15" width="12" style="2" bestFit="1" customWidth="1"/>
    <col min="16" max="16" width="11.5703125" style="2" bestFit="1" customWidth="1"/>
    <col min="17" max="17" width="12.28515625" style="2" bestFit="1" customWidth="1"/>
    <col min="18" max="18" width="13.140625" style="2" bestFit="1" customWidth="1"/>
    <col min="19" max="19" width="13.28515625" style="2" bestFit="1" customWidth="1"/>
    <col min="20" max="20" width="12.42578125" style="2" bestFit="1" customWidth="1"/>
    <col min="21" max="21" width="13.85546875" style="2" bestFit="1" customWidth="1"/>
  </cols>
  <sheetData>
    <row r="1" spans="1:21" x14ac:dyDescent="0.25">
      <c r="A1" t="s">
        <v>26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s="18" t="str">
        <f>CONCATENATE(B1,"-YIELD")</f>
        <v>@SPCB-YIELD</v>
      </c>
      <c r="M1" s="18" t="str">
        <f t="shared" ref="M1:U1" si="0">CONCATENATE(C1,"-YIELD")</f>
        <v>U:NOC-YIELD</v>
      </c>
      <c r="N1" s="18" t="str">
        <f t="shared" si="0"/>
        <v>@MANH-YIELD</v>
      </c>
      <c r="O1" s="18" t="str">
        <f t="shared" si="0"/>
        <v>@GEN-YIELD</v>
      </c>
      <c r="P1" s="18" t="str">
        <f t="shared" si="0"/>
        <v>@ZIXI-YIELD</v>
      </c>
      <c r="Q1" s="18" t="str">
        <f t="shared" si="0"/>
        <v>@INTZ-YIELD</v>
      </c>
      <c r="R1" s="18" t="str">
        <f t="shared" si="0"/>
        <v>@CHKP-YIELD</v>
      </c>
      <c r="S1" s="18" t="str">
        <f t="shared" si="0"/>
        <v>@VRSN-YIELD</v>
      </c>
      <c r="T1" s="18" t="str">
        <f t="shared" si="0"/>
        <v>U:NTIP-YIELD</v>
      </c>
      <c r="U1" s="18" t="str">
        <f t="shared" si="0"/>
        <v>@TMICF-YIELD</v>
      </c>
    </row>
    <row r="2" spans="1:21" ht="15.75" thickBot="1" x14ac:dyDescent="0.3">
      <c r="A2" s="1">
        <v>41640</v>
      </c>
      <c r="B2">
        <v>923.99900000000002</v>
      </c>
      <c r="C2">
        <v>114.61</v>
      </c>
      <c r="D2">
        <v>29.37</v>
      </c>
      <c r="E2">
        <v>13.6236</v>
      </c>
      <c r="F2">
        <v>4.5599999999999996</v>
      </c>
      <c r="G2">
        <v>26.4</v>
      </c>
      <c r="H2">
        <v>64.498999999999995</v>
      </c>
      <c r="I2">
        <v>59.78</v>
      </c>
      <c r="J2">
        <v>1.58</v>
      </c>
      <c r="K2">
        <v>35.549999999999997</v>
      </c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x14ac:dyDescent="0.25">
      <c r="A3" s="5">
        <v>41671</v>
      </c>
      <c r="B3" s="6">
        <v>1199.999</v>
      </c>
      <c r="C3" s="6">
        <v>113.25</v>
      </c>
      <c r="D3" s="6">
        <v>33.26</v>
      </c>
      <c r="E3" s="6">
        <v>11.9886</v>
      </c>
      <c r="F3" s="6">
        <v>4.41</v>
      </c>
      <c r="G3" s="6">
        <v>33</v>
      </c>
      <c r="H3" s="6">
        <v>63.43</v>
      </c>
      <c r="I3" s="6">
        <v>56.28</v>
      </c>
      <c r="J3" s="6">
        <v>1.65</v>
      </c>
      <c r="K3" s="6">
        <v>31.09</v>
      </c>
      <c r="L3" s="7">
        <f>12*(B3-B2)/B2-'tassi 1 mese'!$D5</f>
        <v>3.5344194636574282</v>
      </c>
      <c r="M3" s="7">
        <f>12*(C3-C2)/C2-'tassi 1 mese'!$D5</f>
        <v>-0.1923959514876537</v>
      </c>
      <c r="N3" s="7">
        <f>12*(D3-D2)/D2-'tassi 1 mese'!$D5</f>
        <v>1.5393769152196106</v>
      </c>
      <c r="O3" s="7">
        <f>12*(E3-E2)/E2-'tassi 1 mese'!$D5</f>
        <v>-1.4901479785078833</v>
      </c>
      <c r="P3" s="7">
        <f>12*(F3-F2)/F2-'tassi 1 mese'!$D5</f>
        <v>-0.44473684210526176</v>
      </c>
      <c r="Q3" s="7">
        <f>12*(G3-G2)/G2-'tassi 1 mese'!$D5</f>
        <v>2.9500000000000011</v>
      </c>
      <c r="R3" s="7">
        <f>12*(H3-H2)/H2-'tassi 1 mese'!$D5</f>
        <v>-0.24888680444657973</v>
      </c>
      <c r="S3" s="7">
        <f>12*(I3-I2)/I2-'tassi 1 mese'!$D5</f>
        <v>-0.75257611241217803</v>
      </c>
      <c r="T3" s="7">
        <f>12*(J3-J2)/J2-'tassi 1 mese'!$D5</f>
        <v>0.4816455696202519</v>
      </c>
      <c r="U3" s="15">
        <f>12*(K3-K2)/K2-'tassi 1 mese'!$D5</f>
        <v>-1.5554852320675099</v>
      </c>
    </row>
    <row r="4" spans="1:21" x14ac:dyDescent="0.25">
      <c r="A4" s="9">
        <v>41699</v>
      </c>
      <c r="B4">
        <v>1176</v>
      </c>
      <c r="C4">
        <v>121.02</v>
      </c>
      <c r="D4">
        <v>37.24</v>
      </c>
      <c r="E4">
        <v>12.3583</v>
      </c>
      <c r="F4">
        <v>4.47</v>
      </c>
      <c r="G4">
        <v>44</v>
      </c>
      <c r="H4">
        <v>67.25</v>
      </c>
      <c r="I4">
        <v>55.19</v>
      </c>
      <c r="J4">
        <v>1.7</v>
      </c>
      <c r="K4">
        <v>32.659999999999997</v>
      </c>
      <c r="L4" s="2">
        <f>12*(B4-B3)/B3-'tassi 1 mese'!$D6</f>
        <v>-0.28999019999183356</v>
      </c>
      <c r="M4" s="2">
        <f>12*(C4-C3)/C3-'tassi 1 mese'!$D6</f>
        <v>0.77331125827814517</v>
      </c>
      <c r="N4" s="2">
        <f>12*(D4-D3)/D3-'tassi 1 mese'!$D6</f>
        <v>1.385959110042094</v>
      </c>
      <c r="O4" s="2">
        <f>12*(E4-E3)/E3-'tassi 1 mese'!$D6</f>
        <v>0.32005154897152288</v>
      </c>
      <c r="P4" s="2">
        <f>12*(F4-F3)/F3-'tassi 1 mese'!$D6</f>
        <v>0.11326530612244791</v>
      </c>
      <c r="Q4" s="2">
        <f>12*(G4-G3)/G3-'tassi 1 mese'!$D6</f>
        <v>3.95</v>
      </c>
      <c r="R4" s="2">
        <f>12*(H4-H3)/H3-'tassi 1 mese'!$D6</f>
        <v>0.67268642598139683</v>
      </c>
      <c r="S4" s="2">
        <f>12*(I4-I3)/I3-'tassi 1 mese'!$D6</f>
        <v>-0.28240938166311375</v>
      </c>
      <c r="T4" s="2">
        <f>12*(J4-J3)/J3-'tassi 1 mese'!$D6</f>
        <v>0.31363636363636399</v>
      </c>
      <c r="U4" s="16">
        <f>12*(K4-K3)/K3-'tassi 1 mese'!$D6</f>
        <v>0.5559826310710827</v>
      </c>
    </row>
    <row r="5" spans="1:21" x14ac:dyDescent="0.25">
      <c r="A5" s="9">
        <v>41730</v>
      </c>
      <c r="B5">
        <v>1274</v>
      </c>
      <c r="C5">
        <v>123.95</v>
      </c>
      <c r="D5">
        <v>35.9</v>
      </c>
      <c r="E5">
        <v>11.6592</v>
      </c>
      <c r="F5">
        <v>4.18</v>
      </c>
      <c r="G5">
        <v>46</v>
      </c>
      <c r="H5">
        <v>68.17</v>
      </c>
      <c r="I5">
        <v>53.95</v>
      </c>
      <c r="J5">
        <v>1.73</v>
      </c>
      <c r="K5">
        <v>31</v>
      </c>
      <c r="L5" s="2">
        <f>12*(B5-B4)/B4-'tassi 1 mese'!$D7</f>
        <v>0.97</v>
      </c>
      <c r="M5" s="2">
        <f>12*(C5-C4)/C4-'tassi 1 mese'!$D7</f>
        <v>0.26053049082796298</v>
      </c>
      <c r="N5" s="2">
        <f>12*(D5-D4)/D4-'tassi 1 mese'!$D7</f>
        <v>-0.46179377013963585</v>
      </c>
      <c r="O5" s="2">
        <f>12*(E5-E4)/E4-'tassi 1 mese'!$D7</f>
        <v>-0.70883123083271937</v>
      </c>
      <c r="P5" s="2">
        <f>12*(F5-F4)/F4-'tassi 1 mese'!$D7</f>
        <v>-0.80852348993288603</v>
      </c>
      <c r="Q5" s="2">
        <f>12*(G5-G4)/G4-'tassi 1 mese'!$D7</f>
        <v>0.51545454545454539</v>
      </c>
      <c r="R5" s="2">
        <f>12*(H5-H4)/H4-'tassi 1 mese'!$D7</f>
        <v>0.13416356877323452</v>
      </c>
      <c r="S5" s="2">
        <f>12*(I5-I4)/I4-'tassi 1 mese'!$D7</f>
        <v>-0.29961406051820871</v>
      </c>
      <c r="T5" s="2">
        <f>12*(J5-J4)/J4-'tassi 1 mese'!$D7</f>
        <v>0.18176470588235313</v>
      </c>
      <c r="U5" s="16">
        <f>12*(K5-K4)/K4-'tassi 1 mese'!$D7</f>
        <v>-0.63992039191671657</v>
      </c>
    </row>
    <row r="6" spans="1:21" x14ac:dyDescent="0.25">
      <c r="A6" s="9">
        <v>41760</v>
      </c>
      <c r="B6">
        <v>1548</v>
      </c>
      <c r="C6">
        <v>120.61</v>
      </c>
      <c r="D6">
        <v>31.7</v>
      </c>
      <c r="E6">
        <v>11.6477</v>
      </c>
      <c r="F6">
        <v>3.32</v>
      </c>
      <c r="G6">
        <v>46</v>
      </c>
      <c r="H6">
        <v>64.180000000000007</v>
      </c>
      <c r="I6">
        <v>47.604999999999997</v>
      </c>
      <c r="J6">
        <v>1.58</v>
      </c>
      <c r="K6">
        <v>31.09</v>
      </c>
      <c r="L6" s="2">
        <f>12*(B6-B5)/B5-'tassi 1 mese'!$D8</f>
        <v>2.5408477237048666</v>
      </c>
      <c r="M6" s="2">
        <f>12*(C6-C5)/C5-'tassi 1 mese'!$D8</f>
        <v>-0.36335619201290875</v>
      </c>
      <c r="N6" s="2">
        <f>12*(D6-D5)/D5-'tassi 1 mese'!$D8</f>
        <v>-1.4438997214484679</v>
      </c>
      <c r="O6" s="2">
        <f>12*(E6-E5)/E5-'tassi 1 mese'!$D8</f>
        <v>-5.1836146562371184E-2</v>
      </c>
      <c r="P6" s="2">
        <f>12*(F6-F5)/F5-'tassi 1 mese'!$D8</f>
        <v>-2.5088995215311005</v>
      </c>
      <c r="Q6" s="2">
        <f>12*(G6-G5)/G5-'tassi 1 mese'!$D8</f>
        <v>-0.04</v>
      </c>
      <c r="R6" s="2">
        <f>12*(H6-H5)/H5-'tassi 1 mese'!$D8</f>
        <v>-0.74236174270206745</v>
      </c>
      <c r="S6" s="2">
        <f>12*(I6-I5)/I5-'tassi 1 mese'!$D8</f>
        <v>-1.4513067655236342</v>
      </c>
      <c r="T6" s="2">
        <f>12*(J6-J5)/J5-'tassi 1 mese'!$D8</f>
        <v>-1.0804624277456643</v>
      </c>
      <c r="U6" s="16">
        <f>12*(K6-K5)/K5-'tassi 1 mese'!$D8</f>
        <v>-5.1612903225807041E-3</v>
      </c>
    </row>
    <row r="7" spans="1:21" x14ac:dyDescent="0.25">
      <c r="A7" s="9">
        <v>41791</v>
      </c>
      <c r="B7">
        <v>1977.999</v>
      </c>
      <c r="C7">
        <v>121.96</v>
      </c>
      <c r="D7">
        <v>32.64</v>
      </c>
      <c r="E7">
        <v>12.629899999999999</v>
      </c>
      <c r="F7">
        <v>3.29</v>
      </c>
      <c r="G7">
        <v>39.799999999999997</v>
      </c>
      <c r="H7">
        <v>64.489999999999995</v>
      </c>
      <c r="I7">
        <v>49.97</v>
      </c>
      <c r="J7">
        <v>1.67</v>
      </c>
      <c r="K7">
        <v>31.11</v>
      </c>
      <c r="L7" s="2">
        <f>12*(B7-B6)/B6-'tassi 1 mese'!$D9</f>
        <v>3.293325581395349</v>
      </c>
      <c r="M7" s="2">
        <f>12*(C7-C6)/C6-'tassi 1 mese'!$D9</f>
        <v>9.4317220794295081E-2</v>
      </c>
      <c r="N7" s="2">
        <f>12*(D7-D6)/D6-'tassi 1 mese'!$D9</f>
        <v>0.31583596214511095</v>
      </c>
      <c r="O7" s="2">
        <f>12*(E7-E6)/E6-'tassi 1 mese'!$D9</f>
        <v>0.97190793032100631</v>
      </c>
      <c r="P7" s="2">
        <f>12*(F7-F6)/F6-'tassi 1 mese'!$D9</f>
        <v>-0.14843373493975834</v>
      </c>
      <c r="Q7" s="2">
        <f>12*(G7-G6)/G6-'tassi 1 mese'!$D9</f>
        <v>-1.6573913043478268</v>
      </c>
      <c r="R7" s="2">
        <f>12*(H7-H6)/H6-'tassi 1 mese'!$D9</f>
        <v>1.7961981925831351E-2</v>
      </c>
      <c r="S7" s="2">
        <f>12*(I7-I6)/I6-'tassi 1 mese'!$D9</f>
        <v>0.55615586598046474</v>
      </c>
      <c r="T7" s="2">
        <f>12*(J7-J6)/J6-'tassi 1 mese'!$D9</f>
        <v>0.64354430379746719</v>
      </c>
      <c r="U7" s="16">
        <f>12*(K7-K6)/K6-'tassi 1 mese'!$D9</f>
        <v>-3.2280476037311198E-2</v>
      </c>
    </row>
    <row r="8" spans="1:21" x14ac:dyDescent="0.25">
      <c r="A8" s="9">
        <v>41821</v>
      </c>
      <c r="B8">
        <v>2041.999</v>
      </c>
      <c r="C8">
        <v>120.43</v>
      </c>
      <c r="D8">
        <v>35.36</v>
      </c>
      <c r="E8">
        <v>13.219200000000001</v>
      </c>
      <c r="F8">
        <v>3.39</v>
      </c>
      <c r="G8">
        <v>36.6</v>
      </c>
      <c r="H8">
        <v>67.290000000000006</v>
      </c>
      <c r="I8">
        <v>48.67</v>
      </c>
      <c r="J8">
        <v>2.04</v>
      </c>
      <c r="K8">
        <v>31.11</v>
      </c>
      <c r="L8" s="2">
        <f>12*(B8-B7)/B7-'tassi 1 mese'!$D10</f>
        <v>0.35827117708350709</v>
      </c>
      <c r="M8" s="2">
        <f>12*(C8-C7)/C7-'tassi 1 mese'!$D10</f>
        <v>-0.18054116103640411</v>
      </c>
      <c r="N8" s="2">
        <f>12*(D8-D7)/D7-'tassi 1 mese'!$D10</f>
        <v>0.96999999999999953</v>
      </c>
      <c r="O8" s="2">
        <f>12*(E8-E7)/E7-'tassi 1 mese'!$D10</f>
        <v>0.52990942129391505</v>
      </c>
      <c r="P8" s="2">
        <f>12*(F8-F7)/F7-'tassi 1 mese'!$D10</f>
        <v>0.33474164133738638</v>
      </c>
      <c r="Q8" s="2">
        <f>12*(G8-G7)/G7-'tassi 1 mese'!$D10</f>
        <v>-0.99482412060301384</v>
      </c>
      <c r="R8" s="2">
        <f>12*(H8-H7)/H7-'tassi 1 mese'!$D10</f>
        <v>0.49101100945883291</v>
      </c>
      <c r="S8" s="2">
        <f>12*(I8-I7)/I7-'tassi 1 mese'!$D10</f>
        <v>-0.34218731238743183</v>
      </c>
      <c r="T8" s="2">
        <f>12*(J8-J7)/J7-'tassi 1 mese'!$D10</f>
        <v>2.6286826347305401</v>
      </c>
      <c r="U8" s="16">
        <f>12*(K8-K7)/K7-'tassi 1 mese'!$D10</f>
        <v>-0.03</v>
      </c>
    </row>
    <row r="9" spans="1:21" x14ac:dyDescent="0.25">
      <c r="A9" s="9">
        <v>41852</v>
      </c>
      <c r="B9">
        <v>1798</v>
      </c>
      <c r="C9">
        <v>123.92</v>
      </c>
      <c r="D9">
        <v>29.34</v>
      </c>
      <c r="E9">
        <v>13.386699999999999</v>
      </c>
      <c r="F9">
        <v>3.44</v>
      </c>
      <c r="G9">
        <v>34.200000000000003</v>
      </c>
      <c r="H9">
        <v>66.59</v>
      </c>
      <c r="I9">
        <v>53.2</v>
      </c>
      <c r="J9">
        <v>1.96</v>
      </c>
      <c r="K9">
        <v>35.659999999999997</v>
      </c>
      <c r="L9" s="2">
        <f>12*(B9-B8)/B8-'tassi 1 mese'!$D11</f>
        <v>-1.4638831703639426</v>
      </c>
      <c r="M9" s="2">
        <f>12*(C9-C8)/C8-'tassi 1 mese'!$D11</f>
        <v>0.31775388192310838</v>
      </c>
      <c r="N9" s="2">
        <f>12*(D9-D8)/D8-'tassi 1 mese'!$D11</f>
        <v>-2.0729864253393662</v>
      </c>
      <c r="O9" s="2">
        <f>12*(E9-E8)/E8-'tassi 1 mese'!$D11</f>
        <v>0.12205156136528561</v>
      </c>
      <c r="P9" s="2">
        <f>12*(F9-F8)/F8-'tassi 1 mese'!$D11</f>
        <v>0.14699115044247724</v>
      </c>
      <c r="Q9" s="2">
        <f>12*(G9-G8)/G8-'tassi 1 mese'!$D11</f>
        <v>-0.81688524590163891</v>
      </c>
      <c r="R9" s="2">
        <f>12*(H9-H8)/H8-'tassi 1 mese'!$D11</f>
        <v>-0.15483281319661218</v>
      </c>
      <c r="S9" s="2">
        <f>12*(I9-I8)/I8-'tassi 1 mese'!$D11</f>
        <v>1.0869098006985825</v>
      </c>
      <c r="T9" s="2">
        <f>12*(J9-J8)/J8-'tassi 1 mese'!$D11</f>
        <v>-0.500588235294118</v>
      </c>
      <c r="U9" s="16">
        <f>12*(K9-K8)/K8-'tassi 1 mese'!$D11</f>
        <v>1.7250626808100278</v>
      </c>
    </row>
    <row r="10" spans="1:21" x14ac:dyDescent="0.25">
      <c r="A10" s="9">
        <v>41883</v>
      </c>
      <c r="B10">
        <v>2338</v>
      </c>
      <c r="C10">
        <v>127.22</v>
      </c>
      <c r="D10">
        <v>28.88</v>
      </c>
      <c r="E10">
        <v>14.0281</v>
      </c>
      <c r="F10">
        <v>3.85</v>
      </c>
      <c r="G10">
        <v>56</v>
      </c>
      <c r="H10">
        <v>71.02</v>
      </c>
      <c r="I10">
        <v>57.075000000000003</v>
      </c>
      <c r="J10">
        <v>2.15</v>
      </c>
      <c r="K10">
        <v>35.659999999999997</v>
      </c>
      <c r="L10" s="2">
        <f>12*(B10-B9)/B9-'tassi 1 mese'!$D12</f>
        <v>3.5840044493882091</v>
      </c>
      <c r="M10" s="2">
        <f>12*(C10-C9)/C9-'tassi 1 mese'!$D12</f>
        <v>0.29956100710135541</v>
      </c>
      <c r="N10" s="2">
        <f>12*(D10-D9)/D9-'tassi 1 mese'!$D12</f>
        <v>-0.20813905930470381</v>
      </c>
      <c r="O10" s="2">
        <f>12*(E10-E9)/E9-'tassi 1 mese'!$D12</f>
        <v>0.55495872769241195</v>
      </c>
      <c r="P10" s="2">
        <f>12*(F10-F9)/F9-'tassi 1 mese'!$D12</f>
        <v>1.4102325581395354</v>
      </c>
      <c r="Q10" s="2">
        <f>12*(G10-G9)/G9-'tassi 1 mese'!$D12</f>
        <v>7.6291228070175423</v>
      </c>
      <c r="R10" s="2">
        <f>12*(H10-H9)/H9-'tassi 1 mese'!$D12</f>
        <v>0.77831806577564056</v>
      </c>
      <c r="S10" s="2">
        <f>12*(I10-I9)/I9-'tassi 1 mese'!$D12</f>
        <v>0.85406015037593974</v>
      </c>
      <c r="T10" s="2">
        <f>12*(J10-J9)/J9-'tassi 1 mese'!$D12</f>
        <v>1.1432653061224487</v>
      </c>
      <c r="U10" s="16">
        <f>12*(K10-K9)/K9-'tassi 1 mese'!$D12</f>
        <v>-0.02</v>
      </c>
    </row>
    <row r="11" spans="1:21" x14ac:dyDescent="0.25">
      <c r="A11" s="9">
        <v>41913</v>
      </c>
      <c r="B11">
        <v>2400</v>
      </c>
      <c r="C11">
        <v>128.02000000000001</v>
      </c>
      <c r="D11">
        <v>32.5</v>
      </c>
      <c r="E11">
        <v>13.317399999999999</v>
      </c>
      <c r="F11">
        <v>3.35</v>
      </c>
      <c r="G11">
        <v>58</v>
      </c>
      <c r="H11">
        <v>67.94</v>
      </c>
      <c r="I11">
        <v>54.31</v>
      </c>
      <c r="J11">
        <v>2.1</v>
      </c>
      <c r="K11">
        <v>35.659999999999997</v>
      </c>
      <c r="L11" s="2">
        <f>12*(B11-B10)/B10-'tassi 1 mese'!$D13</f>
        <v>0.30822070145423436</v>
      </c>
      <c r="M11" s="2">
        <f>12*(C11-C10)/C10-'tassi 1 mese'!$D13</f>
        <v>6.5459833359535743E-2</v>
      </c>
      <c r="N11" s="2">
        <f>12*(D11-D10)/D10-'tassi 1 mese'!$D13</f>
        <v>1.4941551246537401</v>
      </c>
      <c r="O11" s="2">
        <f>12*(E11-E10)/E10-'tassi 1 mese'!$D13</f>
        <v>-0.61795118369558333</v>
      </c>
      <c r="P11" s="2">
        <f>12*(F11-F10)/F10-'tassi 1 mese'!$D13</f>
        <v>-1.5684415584415585</v>
      </c>
      <c r="Q11" s="2">
        <f>12*(G11-G10)/G10-'tassi 1 mese'!$D13</f>
        <v>0.41857142857142854</v>
      </c>
      <c r="R11" s="2">
        <f>12*(H11-H10)/H10-'tassi 1 mese'!$D13</f>
        <v>-0.53041678400450554</v>
      </c>
      <c r="S11" s="2">
        <f>12*(I11-I10)/I10-'tassi 1 mese'!$D13</f>
        <v>-0.59134034165571625</v>
      </c>
      <c r="T11" s="2">
        <f>12*(J11-J10)/J10-'tassi 1 mese'!$D13</f>
        <v>-0.28906976744185947</v>
      </c>
      <c r="U11" s="16">
        <f>12*(K11-K10)/K10-'tassi 1 mese'!$D13</f>
        <v>-0.01</v>
      </c>
    </row>
    <row r="12" spans="1:21" x14ac:dyDescent="0.25">
      <c r="A12" s="9">
        <v>41944</v>
      </c>
      <c r="B12">
        <v>2432</v>
      </c>
      <c r="C12">
        <v>136.96</v>
      </c>
      <c r="D12">
        <v>39.86</v>
      </c>
      <c r="E12">
        <v>14.5596</v>
      </c>
      <c r="F12">
        <v>3.28</v>
      </c>
      <c r="G12">
        <v>59.399900000000002</v>
      </c>
      <c r="H12">
        <v>73.7</v>
      </c>
      <c r="I12">
        <v>59.56</v>
      </c>
      <c r="J12">
        <v>2.2000000000000002</v>
      </c>
      <c r="K12">
        <v>33.99</v>
      </c>
      <c r="L12" s="2">
        <f>12*(B12-B11)/B11-'tassi 1 mese'!$D14</f>
        <v>0.14000000000000001</v>
      </c>
      <c r="M12" s="2">
        <f>12*(C12-C11)/C11-'tassi 1 mese'!$D14</f>
        <v>0.81799406342758918</v>
      </c>
      <c r="N12" s="2">
        <f>12*(D12-D11)/D11-'tassi 1 mese'!$D14</f>
        <v>2.6975384615384614</v>
      </c>
      <c r="O12" s="2">
        <f>12*(E12-E11)/E11-'tassi 1 mese'!$D14</f>
        <v>1.0993175845134942</v>
      </c>
      <c r="P12" s="2">
        <f>12*(F12-F11)/F11-'tassi 1 mese'!$D14</f>
        <v>-0.27074626865671747</v>
      </c>
      <c r="Q12" s="2">
        <f>12*(G12-G11)/G11-'tassi 1 mese'!$D14</f>
        <v>0.26963448275862117</v>
      </c>
      <c r="R12" s="2">
        <f>12*(H12-H11)/H11-'tassi 1 mese'!$D14</f>
        <v>0.99736826611716323</v>
      </c>
      <c r="S12" s="2">
        <f>12*(I12-I11)/I11-'tassi 1 mese'!$D14</f>
        <v>1.1400073651261278</v>
      </c>
      <c r="T12" s="2">
        <f>12*(J12-J11)/J11-'tassi 1 mese'!$D14</f>
        <v>0.55142857142857193</v>
      </c>
      <c r="U12" s="16">
        <f>12*(K12-K11)/K11-'tassi 1 mese'!$D14</f>
        <v>-0.5819742007851918</v>
      </c>
    </row>
    <row r="13" spans="1:21" x14ac:dyDescent="0.25">
      <c r="A13" s="9">
        <v>41974</v>
      </c>
      <c r="B13">
        <v>2255.9989999999998</v>
      </c>
      <c r="C13">
        <v>138.76</v>
      </c>
      <c r="D13">
        <v>39.06</v>
      </c>
      <c r="E13">
        <v>15.224</v>
      </c>
      <c r="F13">
        <v>3.09</v>
      </c>
      <c r="G13">
        <v>57.8</v>
      </c>
      <c r="H13">
        <v>76.59</v>
      </c>
      <c r="I13">
        <v>58.71</v>
      </c>
      <c r="J13">
        <v>2.11</v>
      </c>
      <c r="K13">
        <v>32.58</v>
      </c>
      <c r="L13" s="2">
        <f>12*(B13-B12)/B12-'tassi 1 mese'!$D15</f>
        <v>-0.90842598684210629</v>
      </c>
      <c r="M13" s="2">
        <f>12*(C13-C12)/C12-'tassi 1 mese'!$D15</f>
        <v>0.11771028037383027</v>
      </c>
      <c r="N13" s="2">
        <f>12*(D13-D12)/D12-'tassi 1 mese'!$D15</f>
        <v>-0.28084295032614065</v>
      </c>
      <c r="O13" s="2">
        <f>12*(E13-E12)/E12-'tassi 1 mese'!$D15</f>
        <v>0.50759746146872209</v>
      </c>
      <c r="P13" s="2">
        <f>12*(F13-F12)/F12-'tassi 1 mese'!$D15</f>
        <v>-0.73512195121951207</v>
      </c>
      <c r="Q13" s="2">
        <f>12*(G13-G12)/G12-'tassi 1 mese'!$D15</f>
        <v>-0.36321266534118846</v>
      </c>
      <c r="R13" s="2">
        <f>12*(H13-H12)/H12-'tassi 1 mese'!$D15</f>
        <v>0.43055630936227962</v>
      </c>
      <c r="S13" s="2">
        <f>12*(I13-I12)/I12-'tassi 1 mese'!$D15</f>
        <v>-0.21125587642713259</v>
      </c>
      <c r="T13" s="2">
        <f>12*(J13-J12)/J12-'tassi 1 mese'!$D15</f>
        <v>-0.53090909090909255</v>
      </c>
      <c r="U13" s="16">
        <f>12*(K13-K12)/K12-'tassi 1 mese'!$D15</f>
        <v>-0.53779346866725641</v>
      </c>
    </row>
    <row r="14" spans="1:21" x14ac:dyDescent="0.25">
      <c r="A14" s="9">
        <v>42005</v>
      </c>
      <c r="B14">
        <v>2042</v>
      </c>
      <c r="C14">
        <v>147.38999999999999</v>
      </c>
      <c r="D14">
        <v>40.72</v>
      </c>
      <c r="E14">
        <v>14.8225</v>
      </c>
      <c r="F14">
        <v>3.6</v>
      </c>
      <c r="G14">
        <v>56.399900000000002</v>
      </c>
      <c r="H14">
        <v>78.569999999999993</v>
      </c>
      <c r="I14">
        <v>57</v>
      </c>
      <c r="J14">
        <v>2.2000000000000002</v>
      </c>
      <c r="K14">
        <v>27.93</v>
      </c>
      <c r="L14" s="2">
        <f>12*(B14-B13)/B13-'tassi 1 mese'!$D16</f>
        <v>-1.158293057754014</v>
      </c>
      <c r="M14" s="2">
        <f>12*(C14-C13)/C13-'tassi 1 mese'!$D16</f>
        <v>0.72632458921879473</v>
      </c>
      <c r="N14" s="2">
        <f>12*(D14-D13)/D13-'tassi 1 mese'!$D16</f>
        <v>0.48998463901689604</v>
      </c>
      <c r="O14" s="2">
        <f>12*(E14-E13)/E13-'tassi 1 mese'!$D16</f>
        <v>-0.3364739884393067</v>
      </c>
      <c r="P14" s="2">
        <f>12*(F14-F13)/F13-'tassi 1 mese'!$D16</f>
        <v>1.9605825242718455</v>
      </c>
      <c r="Q14" s="2">
        <f>12*(G14-G13)/G13-'tassi 1 mese'!$D16</f>
        <v>-0.3106782006920405</v>
      </c>
      <c r="R14" s="2">
        <f>12*(H14-H13)/H13-'tassi 1 mese'!$D16</f>
        <v>0.29022326674500426</v>
      </c>
      <c r="S14" s="2">
        <f>12*(I14-I13)/I13-'tassi 1 mese'!$D16</f>
        <v>-0.36951456310679631</v>
      </c>
      <c r="T14" s="2">
        <f>12*(J14-J13)/J13-'tassi 1 mese'!$D16</f>
        <v>0.4918483412322292</v>
      </c>
      <c r="U14" s="16">
        <f>12*(K14-K13)/K13-'tassi 1 mese'!$D16</f>
        <v>-1.7327071823204416</v>
      </c>
    </row>
    <row r="15" spans="1:21" x14ac:dyDescent="0.25">
      <c r="A15" s="9">
        <v>42036</v>
      </c>
      <c r="B15">
        <v>1636</v>
      </c>
      <c r="C15">
        <v>159.19</v>
      </c>
      <c r="D15">
        <v>43.1</v>
      </c>
      <c r="E15">
        <v>14.4094</v>
      </c>
      <c r="F15">
        <v>3.52</v>
      </c>
      <c r="G15">
        <v>54</v>
      </c>
      <c r="H15">
        <v>76.5</v>
      </c>
      <c r="I15">
        <v>55.21</v>
      </c>
      <c r="J15">
        <v>2.34</v>
      </c>
      <c r="K15">
        <v>28.14</v>
      </c>
      <c r="L15" s="2">
        <f>12*(B15-B14)/B14-'tassi 1 mese'!$D17</f>
        <v>-2.4058961802154752</v>
      </c>
      <c r="M15" s="2">
        <f>12*(C15-C14)/C14-'tassi 1 mese'!$D17</f>
        <v>0.94071646651740382</v>
      </c>
      <c r="N15" s="2">
        <f>12*(D15-D14)/D14-'tassi 1 mese'!$D17</f>
        <v>0.68137524557956852</v>
      </c>
      <c r="O15" s="2">
        <f>12*(E15-E14)/E14-'tassi 1 mese'!$D17</f>
        <v>-0.35443751054140671</v>
      </c>
      <c r="P15" s="2">
        <f>12*(F15-F14)/F14-'tassi 1 mese'!$D17</f>
        <v>-0.2866666666666669</v>
      </c>
      <c r="Q15" s="2">
        <f>12*(G15-G14)/G14-'tassi 1 mese'!$D17</f>
        <v>-0.53061792662752993</v>
      </c>
      <c r="R15" s="2">
        <f>12*(H15-H14)/H14-'tassi 1 mese'!$D17</f>
        <v>-0.3361512027491399</v>
      </c>
      <c r="S15" s="2">
        <f>12*(I15-I14)/I14-'tassi 1 mese'!$D17</f>
        <v>-0.39684210526315772</v>
      </c>
      <c r="T15" s="2">
        <f>12*(J15-J14)/J14-'tassi 1 mese'!$D17</f>
        <v>0.74363636363636176</v>
      </c>
      <c r="U15" s="16">
        <f>12*(K15-K14)/K14-'tassi 1 mese'!$D17</f>
        <v>7.0225563909774802E-2</v>
      </c>
    </row>
    <row r="16" spans="1:21" x14ac:dyDescent="0.25">
      <c r="A16" s="9">
        <v>42064</v>
      </c>
      <c r="B16">
        <v>1580</v>
      </c>
      <c r="C16">
        <v>167.1</v>
      </c>
      <c r="D16">
        <v>51.38</v>
      </c>
      <c r="E16">
        <v>14.5943</v>
      </c>
      <c r="F16">
        <v>4.01</v>
      </c>
      <c r="G16">
        <v>42.6</v>
      </c>
      <c r="H16">
        <v>84.35</v>
      </c>
      <c r="I16">
        <v>64.58</v>
      </c>
      <c r="J16">
        <v>2.29</v>
      </c>
      <c r="K16">
        <v>33.93</v>
      </c>
      <c r="L16" s="2">
        <f>12*(B16-B15)/B15-'tassi 1 mese'!$D18</f>
        <v>-0.44075794621026898</v>
      </c>
      <c r="M16" s="2">
        <f>12*(C16-C15)/C15-'tassi 1 mese'!$D18</f>
        <v>0.5662686098373011</v>
      </c>
      <c r="N16" s="2">
        <f>12*(D16-D15)/D15-'tassi 1 mese'!$D18</f>
        <v>2.2753364269141536</v>
      </c>
      <c r="O16" s="2">
        <f>12*(E16-E15)/E15-'tassi 1 mese'!$D18</f>
        <v>0.12398281677238532</v>
      </c>
      <c r="P16" s="2">
        <f>12*(F16-F15)/F15-'tassi 1 mese'!$D18</f>
        <v>1.6404545454545447</v>
      </c>
      <c r="Q16" s="2">
        <f>12*(G16-G15)/G15-'tassi 1 mese'!$D18</f>
        <v>-2.563333333333333</v>
      </c>
      <c r="R16" s="2">
        <f>12*(H16-H15)/H15-'tassi 1 mese'!$D18</f>
        <v>1.201372549019607</v>
      </c>
      <c r="S16" s="2">
        <f>12*(I16-I15)/I15-'tassi 1 mese'!$D18</f>
        <v>2.0065875747147253</v>
      </c>
      <c r="T16" s="2">
        <f>12*(J16-J15)/J15-'tassi 1 mese'!$D18</f>
        <v>-0.28641025641025553</v>
      </c>
      <c r="U16" s="16">
        <f>12*(K16-K15)/K15-'tassi 1 mese'!$D18</f>
        <v>2.4390831556503194</v>
      </c>
    </row>
    <row r="17" spans="1:21" x14ac:dyDescent="0.25">
      <c r="A17" s="9">
        <v>42095</v>
      </c>
      <c r="B17">
        <v>1710</v>
      </c>
      <c r="C17">
        <v>160.55000000000001</v>
      </c>
      <c r="D17">
        <v>50.8</v>
      </c>
      <c r="E17">
        <v>13.479200000000001</v>
      </c>
      <c r="F17">
        <v>3.98</v>
      </c>
      <c r="G17">
        <v>38</v>
      </c>
      <c r="H17">
        <v>81.87</v>
      </c>
      <c r="I17">
        <v>66.569999999999993</v>
      </c>
      <c r="J17">
        <v>2.25</v>
      </c>
      <c r="K17">
        <v>33.04</v>
      </c>
      <c r="L17" s="2">
        <f>12*(B17-B16)/B16-'tassi 1 mese'!$D19</f>
        <v>0.97734177215189877</v>
      </c>
      <c r="M17" s="2">
        <f>12*(C17-C16)/C16-'tassi 1 mese'!$D19</f>
        <v>-0.48037701974865232</v>
      </c>
      <c r="N17" s="2">
        <f>12*(D17-D16)/D16-'tassi 1 mese'!$D19</f>
        <v>-0.14546126897625661</v>
      </c>
      <c r="O17" s="2">
        <f>12*(E17-E16)/E16-'tassi 1 mese'!$D19</f>
        <v>-0.92687850736246336</v>
      </c>
      <c r="P17" s="2">
        <f>12*(F17-F16)/F16-'tassi 1 mese'!$D19</f>
        <v>-9.9775561097256271E-2</v>
      </c>
      <c r="Q17" s="2">
        <f>12*(G17-G16)/G16-'tassi 1 mese'!$D19</f>
        <v>-1.3057746478873242</v>
      </c>
      <c r="R17" s="2">
        <f>12*(H17-H16)/H16-'tassi 1 mese'!$D19</f>
        <v>-0.36281564908120784</v>
      </c>
      <c r="S17" s="2">
        <f>12*(I17-I16)/I16-'tassi 1 mese'!$D19</f>
        <v>0.35977392381542178</v>
      </c>
      <c r="T17" s="2">
        <f>12*(J17-J16)/J16-'tassi 1 mese'!$D19</f>
        <v>-0.21960698689956351</v>
      </c>
      <c r="U17" s="16">
        <f>12*(K17-K16)/K16-'tassi 1 mese'!$D19</f>
        <v>-0.32476569407603911</v>
      </c>
    </row>
    <row r="18" spans="1:21" x14ac:dyDescent="0.25">
      <c r="A18" s="9">
        <v>42125</v>
      </c>
      <c r="B18">
        <v>2473.9989999999998</v>
      </c>
      <c r="C18">
        <v>156.01</v>
      </c>
      <c r="D18">
        <v>53.18</v>
      </c>
      <c r="E18">
        <v>14.522</v>
      </c>
      <c r="F18">
        <v>4.47</v>
      </c>
      <c r="G18">
        <v>36.799999999999997</v>
      </c>
      <c r="H18">
        <v>83.95</v>
      </c>
      <c r="I18">
        <v>64.150000000000006</v>
      </c>
      <c r="J18">
        <v>2.29</v>
      </c>
      <c r="K18">
        <v>34.090000000000003</v>
      </c>
      <c r="L18" s="2">
        <f>12*(B18-B17)/B17-'tassi 1 mese'!$D20</f>
        <v>5.3513964912280692</v>
      </c>
      <c r="M18" s="2">
        <f>12*(C18-C17)/C17-'tassi 1 mese'!$D20</f>
        <v>-0.34933354095297564</v>
      </c>
      <c r="N18" s="2">
        <f>12*(D18-D17)/D17-'tassi 1 mese'!$D20</f>
        <v>0.55220472440944945</v>
      </c>
      <c r="O18" s="2">
        <f>12*(E18-E17)/E17-'tassi 1 mese'!$D20</f>
        <v>0.91836370110985788</v>
      </c>
      <c r="P18" s="2">
        <f>12*(F18-F17)/F17-'tassi 1 mese'!$D20</f>
        <v>1.4673869346733661</v>
      </c>
      <c r="Q18" s="2">
        <f>12*(G18-G17)/G17-'tassi 1 mese'!$D20</f>
        <v>-0.38894736842105354</v>
      </c>
      <c r="R18" s="2">
        <f>12*(H18-H17)/H17-'tassi 1 mese'!$D20</f>
        <v>0.29487358006595793</v>
      </c>
      <c r="S18" s="2">
        <f>12*(I18-I17)/I17-'tassi 1 mese'!$D20</f>
        <v>-0.44623253717890721</v>
      </c>
      <c r="T18" s="2">
        <f>12*(J18-J17)/J17-'tassi 1 mese'!$D20</f>
        <v>0.2033333333333335</v>
      </c>
      <c r="U18" s="16">
        <f>12*(K18-K17)/K17-'tassi 1 mese'!$D20</f>
        <v>0.37135593220339136</v>
      </c>
    </row>
    <row r="19" spans="1:21" x14ac:dyDescent="0.25">
      <c r="A19" s="9">
        <v>42156</v>
      </c>
      <c r="B19">
        <v>2417.9989999999998</v>
      </c>
      <c r="C19">
        <v>159.94</v>
      </c>
      <c r="D19">
        <v>55.21</v>
      </c>
      <c r="E19">
        <v>14.267799999999999</v>
      </c>
      <c r="F19">
        <v>4.59</v>
      </c>
      <c r="G19">
        <v>39</v>
      </c>
      <c r="H19">
        <v>84.68</v>
      </c>
      <c r="I19">
        <v>63.26</v>
      </c>
      <c r="J19">
        <v>2.25</v>
      </c>
      <c r="K19">
        <v>34.89</v>
      </c>
      <c r="L19" s="2">
        <f>12*(B19-B18)/B18-'tassi 1 mese'!$D21</f>
        <v>-0.28162500874090896</v>
      </c>
      <c r="M19" s="2">
        <f>12*(C19-C18)/C18-'tassi 1 mese'!$D21</f>
        <v>0.29228831485161261</v>
      </c>
      <c r="N19" s="2">
        <f>12*(D19-D18)/D18-'tassi 1 mese'!$D21</f>
        <v>0.44806694245957152</v>
      </c>
      <c r="O19" s="2">
        <f>12*(E19-E18)/E18-'tassi 1 mese'!$D21</f>
        <v>-0.22005371160997181</v>
      </c>
      <c r="P19" s="2">
        <f>12*(F19-F18)/F18-'tassi 1 mese'!$D21</f>
        <v>0.31214765100671171</v>
      </c>
      <c r="Q19" s="2">
        <f>12*(G19-G18)/G18-'tassi 1 mese'!$D21</f>
        <v>0.70739130434782704</v>
      </c>
      <c r="R19" s="2">
        <f>12*(H19-H18)/H18-'tassi 1 mese'!$D21</f>
        <v>9.434782608695709E-2</v>
      </c>
      <c r="S19" s="2">
        <f>12*(I19-I18)/I18-'tassi 1 mese'!$D21</f>
        <v>-0.1764848012470786</v>
      </c>
      <c r="T19" s="2">
        <f>12*(J19-J18)/J18-'tassi 1 mese'!$D21</f>
        <v>-0.21960698689956351</v>
      </c>
      <c r="U19" s="16">
        <f>12*(K19-K18)/K18-'tassi 1 mese'!$D21</f>
        <v>0.27160750953358653</v>
      </c>
    </row>
    <row r="20" spans="1:21" x14ac:dyDescent="0.25">
      <c r="A20" s="9">
        <v>42186</v>
      </c>
      <c r="B20">
        <v>2536</v>
      </c>
      <c r="C20">
        <v>160.1</v>
      </c>
      <c r="D20">
        <v>60.17</v>
      </c>
      <c r="E20">
        <v>13.4099</v>
      </c>
      <c r="F20">
        <v>5.16</v>
      </c>
      <c r="G20">
        <v>36.200000000000003</v>
      </c>
      <c r="H20">
        <v>80.209999999999994</v>
      </c>
      <c r="I20">
        <v>63.3</v>
      </c>
      <c r="J20">
        <v>1.87</v>
      </c>
      <c r="K20">
        <v>35.299999999999997</v>
      </c>
      <c r="L20" s="2">
        <f>12*(B20-B19)/B19-'tassi 1 mese'!$D22</f>
        <v>0.5056131454148669</v>
      </c>
      <c r="M20" s="2">
        <f>12*(C20-C19)/C19-'tassi 1 mese'!$D22</f>
        <v>-6.7995498311867214E-2</v>
      </c>
      <c r="N20" s="2">
        <f>12*(D20-D19)/D19-'tassi 1 mese'!$D22</f>
        <v>0.99806556783191469</v>
      </c>
      <c r="O20" s="2">
        <f>12*(E20-E19)/E19-'tassi 1 mese'!$D22</f>
        <v>-0.80154081217847095</v>
      </c>
      <c r="P20" s="2">
        <f>12*(F20-F19)/F19-'tassi 1 mese'!$D22</f>
        <v>1.4101960784313732</v>
      </c>
      <c r="Q20" s="2">
        <f>12*(G20-G19)/G19-'tassi 1 mese'!$D22</f>
        <v>-0.94153846153846066</v>
      </c>
      <c r="R20" s="2">
        <f>12*(H20-H19)/H19-'tassi 1 mese'!$D22</f>
        <v>-0.71344355219650624</v>
      </c>
      <c r="S20" s="2">
        <f>12*(I20-I19)/I19-'tassi 1 mese'!$D22</f>
        <v>-7.2412266835283123E-2</v>
      </c>
      <c r="T20" s="2">
        <f>12*(J20-J19)/J19-'tassi 1 mese'!$D22</f>
        <v>-2.106666666666666</v>
      </c>
      <c r="U20" s="16">
        <f>12*(K20-K19)/K19-'tassi 1 mese'!$D22</f>
        <v>6.1014617368872412E-2</v>
      </c>
    </row>
    <row r="21" spans="1:21" x14ac:dyDescent="0.25">
      <c r="A21" s="9">
        <v>42217</v>
      </c>
      <c r="B21">
        <v>2213.9989999999998</v>
      </c>
      <c r="C21">
        <v>172.16</v>
      </c>
      <c r="D21">
        <v>64.430000000000007</v>
      </c>
      <c r="E21">
        <v>12.988099999999999</v>
      </c>
      <c r="F21">
        <v>4.92</v>
      </c>
      <c r="G21">
        <v>34</v>
      </c>
      <c r="H21">
        <v>79.819999999999993</v>
      </c>
      <c r="I21">
        <v>70.63</v>
      </c>
      <c r="J21">
        <v>2.2000000000000002</v>
      </c>
      <c r="K21">
        <v>36.659999999999997</v>
      </c>
      <c r="L21" s="2">
        <f>12*(B21-B20)/B20-'tassi 1 mese'!$D23</f>
        <v>-1.6036640378548905</v>
      </c>
      <c r="M21" s="2">
        <f>12*(C21-C20)/C20-'tassi 1 mese'!$D23</f>
        <v>0.82393504059962552</v>
      </c>
      <c r="N21" s="2">
        <f>12*(D21-D20)/D20-'tassi 1 mese'!$D23</f>
        <v>0.76959282034236431</v>
      </c>
      <c r="O21" s="2">
        <f>12*(E21-E20)/E20-'tassi 1 mese'!$D23</f>
        <v>-0.45745247913854786</v>
      </c>
      <c r="P21" s="2">
        <f>12*(F21-F20)/F20-'tassi 1 mese'!$D23</f>
        <v>-0.63813953488372133</v>
      </c>
      <c r="Q21" s="2">
        <f>12*(G21-G20)/G20-'tassi 1 mese'!$D23</f>
        <v>-0.80928176795580198</v>
      </c>
      <c r="R21" s="2">
        <f>12*(H21-H20)/H20-'tassi 1 mese'!$D23</f>
        <v>-0.13834683954619134</v>
      </c>
      <c r="S21" s="2">
        <f>12*(I21-I20)/I20-'tassi 1 mese'!$D23</f>
        <v>1.3095734597156394</v>
      </c>
      <c r="T21" s="2">
        <f>12*(J21-J20)/J20-'tassi 1 mese'!$D23</f>
        <v>2.0376470588235298</v>
      </c>
      <c r="U21" s="16">
        <f>12*(K21-K20)/K20-'tassi 1 mese'!$D23</f>
        <v>0.38232294617563722</v>
      </c>
    </row>
    <row r="22" spans="1:21" x14ac:dyDescent="0.25">
      <c r="A22" s="9">
        <v>42248</v>
      </c>
      <c r="B22">
        <v>1961.999</v>
      </c>
      <c r="C22">
        <v>159.37</v>
      </c>
      <c r="D22">
        <v>56.97</v>
      </c>
      <c r="E22">
        <v>11.514799999999999</v>
      </c>
      <c r="F22">
        <v>4.3600000000000003</v>
      </c>
      <c r="G22">
        <v>31.2</v>
      </c>
      <c r="H22">
        <v>77.239999999999995</v>
      </c>
      <c r="I22">
        <v>66.56</v>
      </c>
      <c r="J22">
        <v>2.1800000000000002</v>
      </c>
      <c r="K22">
        <v>34.42</v>
      </c>
      <c r="L22" s="2">
        <f>12*(B22-B21)/B21-'tassi 1 mese'!$D24</f>
        <v>-1.3558542754536012</v>
      </c>
      <c r="M22" s="2">
        <f>12*(C22-C21)/C21-'tassi 1 mese'!$D24</f>
        <v>-0.88149628252788048</v>
      </c>
      <c r="N22" s="2">
        <f>12*(D22-D21)/D21-'tassi 1 mese'!$D24</f>
        <v>-1.3794148688499159</v>
      </c>
      <c r="O22" s="2">
        <f>12*(E22-E21)/E21-'tassi 1 mese'!$D24</f>
        <v>-1.3512152662822123</v>
      </c>
      <c r="P22" s="2">
        <f>12*(F22-F21)/F21-'tassi 1 mese'!$D24</f>
        <v>-1.3558536585365843</v>
      </c>
      <c r="Q22" s="2">
        <f>12*(G22-G21)/G21-'tassi 1 mese'!$D24</f>
        <v>-0.97823529411764731</v>
      </c>
      <c r="R22" s="2">
        <f>12*(H22-H21)/H21-'tassi 1 mese'!$D24</f>
        <v>-0.37787271360561242</v>
      </c>
      <c r="S22" s="2">
        <f>12*(I22-I21)/I21-'tassi 1 mese'!$D24</f>
        <v>-0.68149086790315616</v>
      </c>
      <c r="T22" s="2">
        <f>12*(J22-J21)/J21-'tassi 1 mese'!$D24</f>
        <v>-9.9090909090909188E-2</v>
      </c>
      <c r="U22" s="16">
        <f>12*(K22-K21)/K21-'tassi 1 mese'!$D24</f>
        <v>-0.72322422258592312</v>
      </c>
    </row>
    <row r="23" spans="1:21" x14ac:dyDescent="0.25">
      <c r="A23" s="9">
        <v>42278</v>
      </c>
      <c r="B23">
        <v>1645.999</v>
      </c>
      <c r="C23">
        <v>165.72</v>
      </c>
      <c r="D23">
        <v>62.71</v>
      </c>
      <c r="E23">
        <v>11.168100000000001</v>
      </c>
      <c r="F23">
        <v>4.25</v>
      </c>
      <c r="G23">
        <v>30.4</v>
      </c>
      <c r="H23">
        <v>79.95</v>
      </c>
      <c r="I23">
        <v>71.42</v>
      </c>
      <c r="J23">
        <v>2.09</v>
      </c>
      <c r="K23">
        <v>35.130000000000003</v>
      </c>
      <c r="L23" s="2">
        <f>12*(B23-B22)/B22-'tassi 1 mese'!$D25</f>
        <v>-2.0127226976160539</v>
      </c>
      <c r="M23" s="2">
        <f>12*(C23-C22)/C22-'tassi 1 mese'!$D25</f>
        <v>0.39813264729873832</v>
      </c>
      <c r="N23" s="2">
        <f>12*(D23-D22)/D22-'tassi 1 mese'!$D25</f>
        <v>1.1290573986308587</v>
      </c>
      <c r="O23" s="2">
        <f>12*(E23-E22)/E22-'tassi 1 mese'!$D25</f>
        <v>-0.44130892416715722</v>
      </c>
      <c r="P23" s="2">
        <f>12*(F23-F22)/F22-'tassi 1 mese'!$D25</f>
        <v>-0.38275229357798252</v>
      </c>
      <c r="Q23" s="2">
        <f>12*(G23-G22)/G22-'tassi 1 mese'!$D25</f>
        <v>-0.387692307692308</v>
      </c>
      <c r="R23" s="2">
        <f>12*(H23-H22)/H22-'tassi 1 mese'!$D25</f>
        <v>0.34102537545313433</v>
      </c>
      <c r="S23" s="2">
        <f>12*(I23-I22)/I22-'tassi 1 mese'!$D25</f>
        <v>0.79620192307692295</v>
      </c>
      <c r="T23" s="2">
        <f>12*(J23-J22)/J22-'tassi 1 mese'!$D25</f>
        <v>-0.5754128440366989</v>
      </c>
      <c r="U23" s="16">
        <f>12*(K23-K22)/K22-'tassi 1 mese'!$D25</f>
        <v>0.16753050552004678</v>
      </c>
    </row>
    <row r="24" spans="1:21" x14ac:dyDescent="0.25">
      <c r="A24" s="9">
        <v>42309</v>
      </c>
      <c r="B24">
        <v>1623.999</v>
      </c>
      <c r="C24">
        <v>189.54</v>
      </c>
      <c r="D24">
        <v>73.97</v>
      </c>
      <c r="E24">
        <v>11.9597</v>
      </c>
      <c r="F24">
        <v>5.14</v>
      </c>
      <c r="G24">
        <v>27</v>
      </c>
      <c r="H24">
        <v>84.37</v>
      </c>
      <c r="I24">
        <v>81.72</v>
      </c>
      <c r="J24">
        <v>2.1</v>
      </c>
      <c r="K24">
        <v>38.44</v>
      </c>
      <c r="L24" s="2">
        <f>12*(B24-B23)/B23-'tassi 1 mese'!$D26</f>
        <v>-0.3803889188268037</v>
      </c>
      <c r="M24" s="2">
        <f>12*(C24-C23)/C23-'tassi 1 mese'!$D26</f>
        <v>1.5048370745836346</v>
      </c>
      <c r="N24" s="2">
        <f>12*(D24-D23)/D23-'tassi 1 mese'!$D26</f>
        <v>1.9346802742784239</v>
      </c>
      <c r="O24" s="2">
        <f>12*(E24-E23)/E23-'tassi 1 mese'!$D26</f>
        <v>0.63056544980793394</v>
      </c>
      <c r="P24" s="2">
        <f>12*(F24-F23)/F23-'tassi 1 mese'!$D26</f>
        <v>2.2929411764705869</v>
      </c>
      <c r="Q24" s="2">
        <f>12*(G24-G23)/G23-'tassi 1 mese'!$D26</f>
        <v>-1.5621052631578942</v>
      </c>
      <c r="R24" s="2">
        <f>12*(H24-H23)/H23-'tassi 1 mese'!$D26</f>
        <v>0.44341463414634175</v>
      </c>
      <c r="S24" s="2">
        <f>12*(I24-I23)/I23-'tassi 1 mese'!$D26</f>
        <v>1.51060767292075</v>
      </c>
      <c r="T24" s="2">
        <f>12*(J24-J23)/J23-'tassi 1 mese'!$D26</f>
        <v>-0.16258373205741494</v>
      </c>
      <c r="U24" s="16">
        <f>12*(K24-K23)/K23-'tassi 1 mese'!$D26</f>
        <v>0.91065755764303846</v>
      </c>
    </row>
    <row r="25" spans="1:21" x14ac:dyDescent="0.25">
      <c r="A25" s="9">
        <v>42339</v>
      </c>
      <c r="B25">
        <v>987.99900000000002</v>
      </c>
      <c r="C25">
        <v>187.31</v>
      </c>
      <c r="D25">
        <v>76.53</v>
      </c>
      <c r="E25">
        <v>11.404999999999999</v>
      </c>
      <c r="F25">
        <v>5.68</v>
      </c>
      <c r="G25">
        <v>22</v>
      </c>
      <c r="H25">
        <v>86.5</v>
      </c>
      <c r="I25">
        <v>90.9</v>
      </c>
      <c r="J25">
        <v>2.08</v>
      </c>
      <c r="K25">
        <v>42</v>
      </c>
      <c r="L25" s="2">
        <f>12*(B25-B24)/B24-'tassi 1 mese'!$D27</f>
        <v>-4.8595102829496817</v>
      </c>
      <c r="M25" s="2">
        <f>12*(C25-C24)/C24-'tassi 1 mese'!$D27</f>
        <v>-0.30118391896169611</v>
      </c>
      <c r="N25" s="2">
        <f>12*(D25-D24)/D24-'tassi 1 mese'!$D27</f>
        <v>0.25530350141949476</v>
      </c>
      <c r="O25" s="2">
        <f>12*(E25-E24)/E24-'tassi 1 mese'!$D27</f>
        <v>-0.7165691447109882</v>
      </c>
      <c r="P25" s="2">
        <f>12*(F25-F24)/F24-'tassi 1 mese'!$D27</f>
        <v>1.1007003891050586</v>
      </c>
      <c r="Q25" s="2">
        <f>12*(G25-G24)/G24-'tassi 1 mese'!$D27</f>
        <v>-2.3822222222222225</v>
      </c>
      <c r="R25" s="2">
        <f>12*(H25-H24)/H24-'tassi 1 mese'!$D27</f>
        <v>0.14295128600213278</v>
      </c>
      <c r="S25" s="2">
        <f>12*(I25-I24)/I24-'tassi 1 mese'!$D27</f>
        <v>1.1880176211453755</v>
      </c>
      <c r="T25" s="2">
        <f>12*(J25-J24)/J24-'tassi 1 mese'!$D27</f>
        <v>-0.27428571428571435</v>
      </c>
      <c r="U25" s="16">
        <f>12*(K25-K24)/K24-'tassi 1 mese'!$D27</f>
        <v>0.95134235171696224</v>
      </c>
    </row>
    <row r="26" spans="1:21" x14ac:dyDescent="0.25">
      <c r="A26" s="9">
        <v>42370</v>
      </c>
      <c r="B26">
        <v>1044</v>
      </c>
      <c r="C26">
        <v>188.81</v>
      </c>
      <c r="D26">
        <v>66.17</v>
      </c>
      <c r="E26">
        <v>12.132999999999999</v>
      </c>
      <c r="F26">
        <v>5.08</v>
      </c>
      <c r="G26">
        <v>21.8</v>
      </c>
      <c r="H26">
        <v>81.38</v>
      </c>
      <c r="I26">
        <v>87.36</v>
      </c>
      <c r="J26">
        <v>2.09</v>
      </c>
      <c r="K26">
        <v>40.44</v>
      </c>
      <c r="L26" s="2">
        <f>12*(B26-B25)/B25-'tassi 1 mese'!$D28</f>
        <v>0.36017477750483523</v>
      </c>
      <c r="M26" s="2">
        <f>12*(C26-C25)/C25-'tassi 1 mese'!$D28</f>
        <v>-0.22390262132294059</v>
      </c>
      <c r="N26" s="2">
        <f>12*(D26-D25)/D25-'tassi 1 mese'!$D28</f>
        <v>-1.9444609956879655</v>
      </c>
      <c r="O26" s="2">
        <f>12*(E26-E25)/E25-'tassi 1 mese'!$D28</f>
        <v>0.44597983340640052</v>
      </c>
      <c r="P26" s="2">
        <f>12*(F26-F25)/F25-'tassi 1 mese'!$D28</f>
        <v>-1.5876056338028164</v>
      </c>
      <c r="Q26" s="2">
        <f>12*(G26-G25)/G25-'tassi 1 mese'!$D28</f>
        <v>-0.42909090909090869</v>
      </c>
      <c r="R26" s="2">
        <f>12*(H26-H25)/H25-'tassi 1 mese'!$D28</f>
        <v>-1.0302890173410411</v>
      </c>
      <c r="S26" s="2">
        <f>12*(I26-I25)/I25-'tassi 1 mese'!$D28</f>
        <v>-0.78732673267326814</v>
      </c>
      <c r="T26" s="2">
        <f>12*(J26-J25)/J25-'tassi 1 mese'!$D28</f>
        <v>-0.26230769230769357</v>
      </c>
      <c r="U26" s="16">
        <f>12*(K26-K25)/K25-'tassi 1 mese'!$D28</f>
        <v>-0.76571428571428635</v>
      </c>
    </row>
    <row r="27" spans="1:21" x14ac:dyDescent="0.25">
      <c r="A27" s="9">
        <v>42401</v>
      </c>
      <c r="B27">
        <v>1010</v>
      </c>
      <c r="C27">
        <v>188.64</v>
      </c>
      <c r="D27">
        <v>56.81</v>
      </c>
      <c r="E27">
        <v>11.4108</v>
      </c>
      <c r="F27">
        <v>4.53</v>
      </c>
      <c r="G27">
        <v>16.399999999999999</v>
      </c>
      <c r="H27">
        <v>80.63</v>
      </c>
      <c r="I27">
        <v>75.650000000000006</v>
      </c>
      <c r="J27">
        <v>2.04</v>
      </c>
      <c r="K27">
        <v>40.53</v>
      </c>
      <c r="L27" s="2">
        <f>12*(B27-B26)/B26-'tassi 1 mese'!$D29</f>
        <v>-0.72080459770114946</v>
      </c>
      <c r="M27" s="2">
        <f>12*(C27-C26)/C26-'tassi 1 mese'!$D29</f>
        <v>-0.34080451247285731</v>
      </c>
      <c r="N27" s="2">
        <f>12*(D27-D26)/D26-'tassi 1 mese'!$D29</f>
        <v>-2.0274459724950882</v>
      </c>
      <c r="O27" s="2">
        <f>12*(E27-E26)/E26-'tassi 1 mese'!$D29</f>
        <v>-1.0442833594329506</v>
      </c>
      <c r="P27" s="2">
        <f>12*(F27-F26)/F26-'tassi 1 mese'!$D29</f>
        <v>-1.6292125984251964</v>
      </c>
      <c r="Q27" s="2">
        <f>12*(G27-G26)/G26-'tassi 1 mese'!$D29</f>
        <v>-3.3024770642201848</v>
      </c>
      <c r="R27" s="2">
        <f>12*(H27-H26)/H26-'tassi 1 mese'!$D29</f>
        <v>-0.44059228311624477</v>
      </c>
      <c r="S27" s="2">
        <f>12*(I27-I26)/I26-'tassi 1 mese'!$D29</f>
        <v>-1.9385164835164828</v>
      </c>
      <c r="T27" s="2">
        <f>12*(J27-J26)/J26-'tassi 1 mese'!$D29</f>
        <v>-0.61708133971291768</v>
      </c>
      <c r="U27" s="16">
        <f>12*(K27-K26)/K26-'tassi 1 mese'!$D29</f>
        <v>-0.30329376854599305</v>
      </c>
    </row>
    <row r="28" spans="1:21" x14ac:dyDescent="0.25">
      <c r="A28" s="9">
        <v>42430</v>
      </c>
      <c r="B28">
        <v>949.99980000000005</v>
      </c>
      <c r="C28">
        <v>193.88</v>
      </c>
      <c r="D28">
        <v>58.41</v>
      </c>
      <c r="E28">
        <v>11.717000000000001</v>
      </c>
      <c r="F28">
        <v>4.08</v>
      </c>
      <c r="G28">
        <v>15.6</v>
      </c>
      <c r="H28">
        <v>84.69</v>
      </c>
      <c r="I28">
        <v>87.38</v>
      </c>
      <c r="J28">
        <v>2</v>
      </c>
      <c r="K28">
        <v>36.299999999999997</v>
      </c>
      <c r="L28" s="2">
        <f>12*(B28-B27)/B27-'tassi 1 mese'!$D30</f>
        <v>-0.92287366336633603</v>
      </c>
      <c r="M28" s="2">
        <f>12*(C28-C27)/C27-'tassi 1 mese'!$D30</f>
        <v>0.12333333333333393</v>
      </c>
      <c r="N28" s="2">
        <f>12*(D28-D27)/D27-'tassi 1 mese'!$D30</f>
        <v>0.12796866748811705</v>
      </c>
      <c r="O28" s="2">
        <f>12*(E28-E27)/E27-'tassi 1 mese'!$D30</f>
        <v>0.11201072667998788</v>
      </c>
      <c r="P28" s="2">
        <f>12*(F28-F27)/F27-'tassi 1 mese'!$D30</f>
        <v>-1.4020529801324506</v>
      </c>
      <c r="Q28" s="2">
        <f>12*(G28-G27)/G27-'tassi 1 mese'!$D30</f>
        <v>-0.79536585365853585</v>
      </c>
      <c r="R28" s="2">
        <f>12*(H28-H27)/H27-'tassi 1 mese'!$D30</f>
        <v>0.39424159742031539</v>
      </c>
      <c r="S28" s="2">
        <f>12*(I28-I27)/I27-'tassi 1 mese'!$D30</f>
        <v>1.650674157303369</v>
      </c>
      <c r="T28" s="2">
        <f>12*(J28-J27)/J27-'tassi 1 mese'!$D30</f>
        <v>-0.44529411764705901</v>
      </c>
      <c r="U28" s="16">
        <f>12*(K28-K27)/K27-'tassi 1 mese'!$D30</f>
        <v>-1.4624056254626214</v>
      </c>
    </row>
    <row r="29" spans="1:21" x14ac:dyDescent="0.25">
      <c r="A29" s="9">
        <v>42461</v>
      </c>
      <c r="B29">
        <v>763.99980000000005</v>
      </c>
      <c r="C29">
        <v>200.31</v>
      </c>
      <c r="D29">
        <v>56.95</v>
      </c>
      <c r="E29">
        <v>10.6366</v>
      </c>
      <c r="F29">
        <v>3.9</v>
      </c>
      <c r="G29">
        <v>12</v>
      </c>
      <c r="H29">
        <v>86.77</v>
      </c>
      <c r="I29">
        <v>89.64</v>
      </c>
      <c r="J29">
        <v>1.9</v>
      </c>
      <c r="K29">
        <v>37.6</v>
      </c>
      <c r="L29" s="2">
        <f>12*(B29-B28)/B28-'tassi 1 mese'!$D31</f>
        <v>-2.5694741788366695</v>
      </c>
      <c r="M29" s="2">
        <f>12*(C29-C28)/C28-'tassi 1 mese'!$D31</f>
        <v>0.17797813080255873</v>
      </c>
      <c r="N29" s="2">
        <f>12*(D29-D28)/D28-'tassi 1 mese'!$D31</f>
        <v>-0.51994863893168852</v>
      </c>
      <c r="O29" s="2">
        <f>12*(E29-E28)/E28-'tassi 1 mese'!$D31</f>
        <v>-1.3264948365622609</v>
      </c>
      <c r="P29" s="2">
        <f>12*(F29-F28)/F28-'tassi 1 mese'!$D31</f>
        <v>-0.74941176470588278</v>
      </c>
      <c r="Q29" s="2">
        <f>12*(G29-G28)/G28-'tassi 1 mese'!$D31</f>
        <v>-2.9892307692307694</v>
      </c>
      <c r="R29" s="2">
        <f>12*(H29-H28)/H28-'tassi 1 mese'!$D31</f>
        <v>7.4721927027984164E-2</v>
      </c>
      <c r="S29" s="2">
        <f>12*(I29-I28)/I28-'tassi 1 mese'!$D31</f>
        <v>9.0368505378805947E-2</v>
      </c>
      <c r="T29" s="2">
        <f>12*(J29-J28)/J28-'tassi 1 mese'!$D31</f>
        <v>-0.82000000000000051</v>
      </c>
      <c r="U29" s="16">
        <f>12*(K29-K28)/K28-'tassi 1 mese'!$D31</f>
        <v>0.20975206611570393</v>
      </c>
    </row>
    <row r="30" spans="1:21" x14ac:dyDescent="0.25">
      <c r="A30" s="9">
        <v>42491</v>
      </c>
      <c r="B30">
        <v>773.99980000000005</v>
      </c>
      <c r="C30">
        <v>208.31</v>
      </c>
      <c r="D30">
        <v>61.39</v>
      </c>
      <c r="E30">
        <v>9.6775000000000002</v>
      </c>
      <c r="F30">
        <v>3.77</v>
      </c>
      <c r="G30">
        <v>8</v>
      </c>
      <c r="H30">
        <v>82.79</v>
      </c>
      <c r="I30">
        <v>88.13</v>
      </c>
      <c r="J30">
        <v>2.29</v>
      </c>
      <c r="K30">
        <v>37.79</v>
      </c>
      <c r="L30" s="2">
        <f>12*(B30-B29)/B29-'tassi 1 mese'!$D32</f>
        <v>-0.18293189605547019</v>
      </c>
      <c r="M30" s="2">
        <f>12*(C30-C29)/C29-'tassi 1 mese'!$D32</f>
        <v>0.13925715141530626</v>
      </c>
      <c r="N30" s="2">
        <f>12*(D30-D29)/D29-'tassi 1 mese'!$D32</f>
        <v>0.59555750658472295</v>
      </c>
      <c r="O30" s="2">
        <f>12*(E30-E29)/E29-'tassi 1 mese'!$D32</f>
        <v>-1.4220374931839115</v>
      </c>
      <c r="P30" s="2">
        <f>12*(F30-F29)/F29-'tassi 1 mese'!$D32</f>
        <v>-0.73999999999999977</v>
      </c>
      <c r="Q30" s="2">
        <f>12*(G30-G29)/G29-'tassi 1 mese'!$D32</f>
        <v>-4.34</v>
      </c>
      <c r="R30" s="2">
        <f>12*(H30-H29)/H29-'tassi 1 mese'!$D32</f>
        <v>-0.89042065229918044</v>
      </c>
      <c r="S30" s="2">
        <f>12*(I30-I29)/I29-'tassi 1 mese'!$D32</f>
        <v>-0.54214190093708237</v>
      </c>
      <c r="T30" s="2">
        <f>12*(J30-J29)/J29-'tassi 1 mese'!$D32</f>
        <v>2.1231578947368432</v>
      </c>
      <c r="U30" s="16">
        <f>12*(K30-K29)/K29-'tassi 1 mese'!$D32</f>
        <v>-0.27936170212766032</v>
      </c>
    </row>
    <row r="31" spans="1:21" x14ac:dyDescent="0.25">
      <c r="A31" s="9">
        <v>42522</v>
      </c>
      <c r="B31">
        <v>783.99980000000005</v>
      </c>
      <c r="C31">
        <v>214.17</v>
      </c>
      <c r="D31">
        <v>66.459999999999994</v>
      </c>
      <c r="E31">
        <v>10.001099999999999</v>
      </c>
      <c r="F31">
        <v>4.07</v>
      </c>
      <c r="G31">
        <v>6</v>
      </c>
      <c r="H31">
        <v>84.8</v>
      </c>
      <c r="I31">
        <v>85.38</v>
      </c>
      <c r="J31">
        <v>2.39</v>
      </c>
      <c r="K31">
        <v>36.33</v>
      </c>
      <c r="L31" s="2">
        <f>12*(B31-B30)/B30-'tassi 1 mese'!$D33</f>
        <v>-0.10496120024837219</v>
      </c>
      <c r="M31" s="2">
        <f>12*(C31-C30)/C30-'tassi 1 mese'!$D33</f>
        <v>7.7573808266524991E-2</v>
      </c>
      <c r="N31" s="2">
        <f>12*(D31-D30)/D30-'tassi 1 mese'!$D33</f>
        <v>0.73104088613780616</v>
      </c>
      <c r="O31" s="2">
        <f>12*(E31-E30)/E30-'tassi 1 mese'!$D33</f>
        <v>0.14126065616119737</v>
      </c>
      <c r="P31" s="2">
        <f>12*(F31-F30)/F30-'tassi 1 mese'!$D33</f>
        <v>0.69490716180371437</v>
      </c>
      <c r="Q31" s="2">
        <f>12*(G31-G30)/G30-'tassi 1 mese'!$D33</f>
        <v>-3.26</v>
      </c>
      <c r="R31" s="2">
        <f>12*(H31-H30)/H30-'tassi 1 mese'!$D33</f>
        <v>3.1339533760114613E-2</v>
      </c>
      <c r="S31" s="2">
        <f>12*(I31-I30)/I30-'tassi 1 mese'!$D33</f>
        <v>-0.63444683989560879</v>
      </c>
      <c r="T31" s="2">
        <f>12*(J31-J30)/J30-'tassi 1 mese'!$D33</f>
        <v>0.26401746724890873</v>
      </c>
      <c r="U31" s="16">
        <f>12*(K31-K30)/K30-'tassi 1 mese'!$D33</f>
        <v>-0.72361471288700741</v>
      </c>
    </row>
    <row r="32" spans="1:21" x14ac:dyDescent="0.25">
      <c r="A32" s="9">
        <v>42552</v>
      </c>
      <c r="B32">
        <v>745.99980000000005</v>
      </c>
      <c r="C32">
        <v>221.8</v>
      </c>
      <c r="D32">
        <v>64.34</v>
      </c>
      <c r="E32">
        <v>11.821</v>
      </c>
      <c r="F32">
        <v>3.79</v>
      </c>
      <c r="G32">
        <v>7</v>
      </c>
      <c r="H32">
        <v>79.62</v>
      </c>
      <c r="I32">
        <v>85.34</v>
      </c>
      <c r="J32">
        <v>2.78</v>
      </c>
      <c r="K32">
        <v>35.03</v>
      </c>
      <c r="L32" s="2">
        <f>12*(B32-B31)/B31-'tassi 1 mese'!$D34</f>
        <v>-0.85163280143693909</v>
      </c>
      <c r="M32" s="2">
        <f>12*(C32-C31)/C31-'tassi 1 mese'!$D34</f>
        <v>0.1575108558621669</v>
      </c>
      <c r="N32" s="2">
        <f>12*(D32-D31)/D31-'tassi 1 mese'!$D34</f>
        <v>-0.65278663857959507</v>
      </c>
      <c r="O32" s="2">
        <f>12*(E32-E31)/E31-'tassi 1 mese'!$D34</f>
        <v>1.9136397996220422</v>
      </c>
      <c r="P32" s="2">
        <f>12*(F32-F31)/F31-'tassi 1 mese'!$D34</f>
        <v>-1.0955528255528262</v>
      </c>
      <c r="Q32" s="2">
        <f>12*(G32-G31)/G31-'tassi 1 mese'!$D34</f>
        <v>1.73</v>
      </c>
      <c r="R32" s="2">
        <f>12*(H32-H31)/H31-'tassi 1 mese'!$D34</f>
        <v>-1.0030188679245273</v>
      </c>
      <c r="S32" s="2">
        <f>12*(I32-I31)/I31-'tassi 1 mese'!$D34</f>
        <v>-0.27562192550948589</v>
      </c>
      <c r="T32" s="2">
        <f>12*(J32-J31)/J31-'tassi 1 mese'!$D34</f>
        <v>1.6881589958158978</v>
      </c>
      <c r="U32" s="16">
        <f>12*(K32-K31)/K31-'tassi 1 mese'!$D34</f>
        <v>-0.69939719240297182</v>
      </c>
    </row>
    <row r="33" spans="1:21" x14ac:dyDescent="0.25">
      <c r="A33" s="9">
        <v>42583</v>
      </c>
      <c r="B33">
        <v>634.99980000000005</v>
      </c>
      <c r="C33">
        <v>216.69</v>
      </c>
      <c r="D33">
        <v>58.96</v>
      </c>
      <c r="E33">
        <v>11.872999999999999</v>
      </c>
      <c r="F33">
        <v>3.9</v>
      </c>
      <c r="G33">
        <v>5.4</v>
      </c>
      <c r="H33">
        <v>76.09</v>
      </c>
      <c r="I33">
        <v>85.62</v>
      </c>
      <c r="J33">
        <v>2.48</v>
      </c>
      <c r="K33">
        <v>35.520000000000003</v>
      </c>
      <c r="L33" s="2">
        <f>12*(B33-B32)/B32-'tassi 1 mese'!$D35</f>
        <v>-2.115523266896318</v>
      </c>
      <c r="M33" s="2">
        <f>12*(C33-C32)/C32-'tassi 1 mese'!$D35</f>
        <v>-0.60646528403967614</v>
      </c>
      <c r="N33" s="2">
        <f>12*(D33-D32)/D32-'tassi 1 mese'!$D35</f>
        <v>-1.3334193347839607</v>
      </c>
      <c r="O33" s="2">
        <f>12*(E33-E32)/E32-'tassi 1 mese'!$D35</f>
        <v>-0.27721258776753277</v>
      </c>
      <c r="P33" s="2">
        <f>12*(F33-F32)/F32-'tassi 1 mese'!$D35</f>
        <v>1.8284960422163155E-2</v>
      </c>
      <c r="Q33" s="2">
        <f>12*(G33-G32)/G32-'tassi 1 mese'!$D35</f>
        <v>-3.0728571428571425</v>
      </c>
      <c r="R33" s="2">
        <f>12*(H33-H32)/H32-'tassi 1 mese'!$D35</f>
        <v>-0.86202712886209509</v>
      </c>
      <c r="S33" s="2">
        <f>12*(I33-I32)/I32-'tassi 1 mese'!$D35</f>
        <v>-0.2906280759315677</v>
      </c>
      <c r="T33" s="2">
        <f>12*(J33-J32)/J32-'tassi 1 mese'!$D35</f>
        <v>-1.6249640287769778</v>
      </c>
      <c r="U33" s="16">
        <f>12*(K33-K32)/K32-'tassi 1 mese'!$D35</f>
        <v>-0.16214387667713323</v>
      </c>
    </row>
    <row r="34" spans="1:21" x14ac:dyDescent="0.25">
      <c r="A34" s="9">
        <v>42614</v>
      </c>
      <c r="B34">
        <v>659.99980000000005</v>
      </c>
      <c r="C34">
        <v>211.83</v>
      </c>
      <c r="D34">
        <v>61.03</v>
      </c>
      <c r="E34">
        <v>13.9529</v>
      </c>
      <c r="F34">
        <v>3.9</v>
      </c>
      <c r="G34">
        <v>5.5</v>
      </c>
      <c r="H34">
        <v>76.959999999999994</v>
      </c>
      <c r="I34">
        <v>74.81</v>
      </c>
      <c r="J34">
        <v>2.75</v>
      </c>
      <c r="K34">
        <v>36.630000000000003</v>
      </c>
      <c r="L34" s="2">
        <f>12*(B34-B33)/B33-'tassi 1 mese'!$D36</f>
        <v>0.19244109368223417</v>
      </c>
      <c r="M34" s="2">
        <f>12*(C34-C33)/C33-'tassi 1 mese'!$D36</f>
        <v>-0.54914024643499859</v>
      </c>
      <c r="N34" s="2">
        <f>12*(D34-D33)/D33-'tassi 1 mese'!$D36</f>
        <v>0.14130257801899593</v>
      </c>
      <c r="O34" s="2">
        <f>12*(E34-E33)/E33-'tassi 1 mese'!$D36</f>
        <v>1.8221477301440248</v>
      </c>
      <c r="P34" s="2">
        <f>12*(F34-F33)/F33-'tassi 1 mese'!$D36</f>
        <v>-0.28000000000000003</v>
      </c>
      <c r="Q34" s="2">
        <f>12*(G34-G33)/G33-'tassi 1 mese'!$D36</f>
        <v>-5.7777777777778622E-2</v>
      </c>
      <c r="R34" s="2">
        <f>12*(H34-H33)/H33-'tassi 1 mese'!$D36</f>
        <v>-0.14279405966618633</v>
      </c>
      <c r="S34" s="2">
        <f>12*(I34-I33)/I33-'tassi 1 mese'!$D36</f>
        <v>-1.795066573230554</v>
      </c>
      <c r="T34" s="2">
        <f>12*(J34-J33)/J33-'tassi 1 mese'!$D36</f>
        <v>1.026451612903226</v>
      </c>
      <c r="U34" s="16">
        <f>12*(K34-K33)/K33-'tassi 1 mese'!$D36</f>
        <v>9.4999999999999751E-2</v>
      </c>
    </row>
    <row r="35" spans="1:21" x14ac:dyDescent="0.25">
      <c r="A35" s="9">
        <v>42644</v>
      </c>
      <c r="B35">
        <v>686</v>
      </c>
      <c r="C35">
        <v>215.1</v>
      </c>
      <c r="D35">
        <v>56.75</v>
      </c>
      <c r="E35">
        <v>14.5076</v>
      </c>
      <c r="F35">
        <v>4.05</v>
      </c>
      <c r="G35">
        <v>3.2</v>
      </c>
      <c r="H35">
        <v>77.569999999999993</v>
      </c>
      <c r="I35">
        <v>78.83</v>
      </c>
      <c r="J35">
        <v>2.75</v>
      </c>
      <c r="K35">
        <v>34.51</v>
      </c>
      <c r="L35" s="2">
        <f>12*(B35-B34)/B34-'tassi 1 mese'!$D37</f>
        <v>0.13273105234274218</v>
      </c>
      <c r="M35" s="2">
        <f>12*(C35-C34)/C34-'tassi 1 mese'!$D37</f>
        <v>-0.15475711655572971</v>
      </c>
      <c r="N35" s="2">
        <f>12*(D35-D34)/D34-'tassi 1 mese'!$D37</f>
        <v>-1.1815533344256925</v>
      </c>
      <c r="O35" s="2">
        <f>12*(E35-E34)/E34-'tassi 1 mese'!$D37</f>
        <v>0.13706211611923003</v>
      </c>
      <c r="P35" s="2">
        <f>12*(F35-F34)/F34-'tassi 1 mese'!$D37</f>
        <v>0.12153846153846126</v>
      </c>
      <c r="Q35" s="2">
        <f>12*(G35-G34)/G34-'tassi 1 mese'!$D37</f>
        <v>-5.3581818181818175</v>
      </c>
      <c r="R35" s="2">
        <f>12*(H35-H34)/H34-'tassi 1 mese'!$D37</f>
        <v>-0.244885654885655</v>
      </c>
      <c r="S35" s="2">
        <f>12*(I35-I34)/I34-'tassi 1 mese'!$D37</f>
        <v>0.30483357839860908</v>
      </c>
      <c r="T35" s="2">
        <f>12*(J35-J34)/J34-'tassi 1 mese'!$D37</f>
        <v>-0.34</v>
      </c>
      <c r="U35" s="16">
        <f>12*(K35-K34)/K34-'tassi 1 mese'!$D37</f>
        <v>-1.0345126945126959</v>
      </c>
    </row>
    <row r="36" spans="1:21" x14ac:dyDescent="0.25">
      <c r="A36" s="9">
        <v>42675</v>
      </c>
      <c r="B36">
        <v>525.99980000000005</v>
      </c>
      <c r="C36">
        <v>228.42</v>
      </c>
      <c r="D36">
        <v>50.29</v>
      </c>
      <c r="E36">
        <v>14.571199999999999</v>
      </c>
      <c r="F36">
        <v>4.08</v>
      </c>
      <c r="G36">
        <v>9.8000000000000007</v>
      </c>
      <c r="H36">
        <v>83.1</v>
      </c>
      <c r="I36">
        <v>83.09</v>
      </c>
      <c r="J36">
        <v>2.7</v>
      </c>
      <c r="K36">
        <v>34.26</v>
      </c>
      <c r="L36" s="2">
        <f>12*(B36-B35)/B35-'tassi 1 mese'!$D38</f>
        <v>-3.2788373177842556</v>
      </c>
      <c r="M36" s="2">
        <f>12*(C36-C35)/C35-'tassi 1 mese'!$D38</f>
        <v>0.26309623430962303</v>
      </c>
      <c r="N36" s="2">
        <f>12*(D36-D35)/D35-'tassi 1 mese'!$D38</f>
        <v>-1.8459911894273129</v>
      </c>
      <c r="O36" s="2">
        <f>12*(E36-E35)/E35-'tassi 1 mese'!$D38</f>
        <v>-0.42739309051807395</v>
      </c>
      <c r="P36" s="2">
        <f>12*(F36-F35)/F35-'tassi 1 mese'!$D38</f>
        <v>-0.39111111111111035</v>
      </c>
      <c r="Q36" s="2">
        <f>12*(G36-G35)/G35-'tassi 1 mese'!$D38</f>
        <v>24.27</v>
      </c>
      <c r="R36" s="2">
        <f>12*(H36-H35)/H35-'tassi 1 mese'!$D38</f>
        <v>0.3754853680546606</v>
      </c>
      <c r="S36" s="2">
        <f>12*(I36-I35)/I35-'tassi 1 mese'!$D38</f>
        <v>0.16848407966510293</v>
      </c>
      <c r="T36" s="2">
        <f>12*(J36-J35)/J35-'tassi 1 mese'!$D38</f>
        <v>-0.69818181818181735</v>
      </c>
      <c r="U36" s="16">
        <f>12*(K36-K35)/K35-'tassi 1 mese'!$D38</f>
        <v>-0.56693132425383941</v>
      </c>
    </row>
    <row r="37" spans="1:21" x14ac:dyDescent="0.25">
      <c r="A37" s="9">
        <v>42705</v>
      </c>
      <c r="B37">
        <v>671.99980000000005</v>
      </c>
      <c r="C37">
        <v>249.07</v>
      </c>
      <c r="D37">
        <v>51.84</v>
      </c>
      <c r="E37">
        <v>13.727600000000001</v>
      </c>
      <c r="F37">
        <v>4.4000000000000004</v>
      </c>
      <c r="G37">
        <v>5.8</v>
      </c>
      <c r="H37">
        <v>81.31</v>
      </c>
      <c r="I37">
        <v>77.569999999999993</v>
      </c>
      <c r="J37">
        <v>3.2</v>
      </c>
      <c r="K37">
        <v>34.26</v>
      </c>
      <c r="L37" s="2">
        <f>12*(B37-B36)/B36-'tassi 1 mese'!$D39</f>
        <v>2.8307997455512339</v>
      </c>
      <c r="M37" s="2">
        <f>12*(C37-C36)/C36-'tassi 1 mese'!$D39</f>
        <v>0.58484370895718452</v>
      </c>
      <c r="N37" s="2">
        <f>12*(D37-D36)/D36-'tassi 1 mese'!$D39</f>
        <v>-0.13014515808311689</v>
      </c>
      <c r="O37" s="2">
        <f>12*(E37-E36)/E36-'tassi 1 mese'!$D39</f>
        <v>-1.1947403096519151</v>
      </c>
      <c r="P37" s="2">
        <f>12*(F37-F36)/F36-'tassi 1 mese'!$D39</f>
        <v>0.44117647058823606</v>
      </c>
      <c r="Q37" s="2">
        <f>12*(G37-G36)/G36-'tassi 1 mese'!$D39</f>
        <v>-5.3979591836734704</v>
      </c>
      <c r="R37" s="2">
        <f>12*(H37-H36)/H36-'tassi 1 mese'!$D39</f>
        <v>-0.75848375451263417</v>
      </c>
      <c r="S37" s="2">
        <f>12*(I37-I36)/I36-'tassi 1 mese'!$D39</f>
        <v>-1.2972078469129875</v>
      </c>
      <c r="T37" s="2">
        <f>12*(J37-J36)/J36-'tassi 1 mese'!$D39</f>
        <v>1.7222222222222219</v>
      </c>
      <c r="U37" s="16">
        <f>12*(K37-K36)/K36-'tassi 1 mese'!$D39</f>
        <v>-0.5</v>
      </c>
    </row>
    <row r="38" spans="1:21" x14ac:dyDescent="0.25">
      <c r="A38" s="9">
        <v>42736</v>
      </c>
      <c r="B38">
        <v>678</v>
      </c>
      <c r="C38">
        <v>232.58</v>
      </c>
      <c r="D38">
        <v>53.03</v>
      </c>
      <c r="E38">
        <v>13.8027</v>
      </c>
      <c r="F38">
        <v>4.9400000000000004</v>
      </c>
      <c r="G38">
        <v>8.5939999999999994</v>
      </c>
      <c r="H38">
        <v>84.46</v>
      </c>
      <c r="I38">
        <v>76.069999999999993</v>
      </c>
      <c r="J38">
        <v>3.4</v>
      </c>
      <c r="K38">
        <v>35.93</v>
      </c>
      <c r="L38" s="2">
        <f>12*(B38-B37)/B37-'tassi 1 mese'!$D40</f>
        <v>-0.41285353953974485</v>
      </c>
      <c r="M38" s="2">
        <f>12*(C38-C37)/C37-'tassi 1 mese'!$D40</f>
        <v>-1.314475448669048</v>
      </c>
      <c r="N38" s="2">
        <f>12*(D38-D37)/D37-'tassi 1 mese'!$D40</f>
        <v>-0.24453703703703761</v>
      </c>
      <c r="O38" s="2">
        <f>12*(E38-E37)/E37-'tassi 1 mese'!$D40</f>
        <v>-0.45435123401031585</v>
      </c>
      <c r="P38" s="2">
        <f>12*(F38-F37)/F37-'tassi 1 mese'!$D40</f>
        <v>0.95272727272727264</v>
      </c>
      <c r="Q38" s="2">
        <f>12*(G38-G37)/G37-'tassi 1 mese'!$D40</f>
        <v>5.2606896551724134</v>
      </c>
      <c r="R38" s="2">
        <f>12*(H38-H37)/H37-'tassi 1 mese'!$D40</f>
        <v>-5.5112532283853211E-2</v>
      </c>
      <c r="S38" s="2">
        <f>12*(I38-I37)/I37-'tassi 1 mese'!$D40</f>
        <v>-0.75204847234755712</v>
      </c>
      <c r="T38" s="2">
        <f>12*(J38-J37)/J37-'tassi 1 mese'!$D40</f>
        <v>0.22999999999999898</v>
      </c>
      <c r="U38" s="16">
        <f>12*(K38-K37)/K37-'tassi 1 mese'!$D40</f>
        <v>6.4938704028021599E-2</v>
      </c>
    </row>
    <row r="39" spans="1:21" x14ac:dyDescent="0.25">
      <c r="A39" s="9">
        <v>42767</v>
      </c>
      <c r="B39">
        <v>775.99980000000005</v>
      </c>
      <c r="C39">
        <v>228.82</v>
      </c>
      <c r="D39">
        <v>47.69</v>
      </c>
      <c r="E39">
        <v>15.744</v>
      </c>
      <c r="F39">
        <v>4.7699999999999996</v>
      </c>
      <c r="G39">
        <v>5</v>
      </c>
      <c r="H39">
        <v>97.91</v>
      </c>
      <c r="I39">
        <v>80.23</v>
      </c>
      <c r="J39">
        <v>3.8</v>
      </c>
      <c r="K39">
        <v>37.68</v>
      </c>
      <c r="L39" s="2">
        <f>12*(B39-B38)/B38-'tassi 1 mese'!$D41</f>
        <v>1.2045097345132751</v>
      </c>
      <c r="M39" s="2">
        <f>12*(C39-C38)/C38-'tassi 1 mese'!$D41</f>
        <v>-0.72399776421016526</v>
      </c>
      <c r="N39" s="2">
        <f>12*(D39-D38)/D38-'tassi 1 mese'!$D41</f>
        <v>-1.738372619272111</v>
      </c>
      <c r="O39" s="2">
        <f>12*(E39-E38)/E38-'tassi 1 mese'!$D41</f>
        <v>1.1577567432458866</v>
      </c>
      <c r="P39" s="2">
        <f>12*(F39-F38)/F38-'tassi 1 mese'!$D41</f>
        <v>-0.94295546558704646</v>
      </c>
      <c r="Q39" s="2">
        <f>12*(G39-G38)/G38-'tassi 1 mese'!$D41</f>
        <v>-5.5483849197114266</v>
      </c>
      <c r="R39" s="2">
        <f>12*(H39-H38)/H38-'tassi 1 mese'!$D41</f>
        <v>1.3809637698318735</v>
      </c>
      <c r="S39" s="2">
        <f>12*(I39-I38)/I38-'tassi 1 mese'!$D41</f>
        <v>0.12623767582489986</v>
      </c>
      <c r="T39" s="2">
        <f>12*(J39-J38)/J38-'tassi 1 mese'!$D41</f>
        <v>0.88176470588235256</v>
      </c>
      <c r="U39" s="16">
        <f>12*(K39-K38)/K38-'tassi 1 mese'!$D41</f>
        <v>5.4469802393542932E-2</v>
      </c>
    </row>
    <row r="40" spans="1:21" x14ac:dyDescent="0.25">
      <c r="A40" s="9">
        <v>42795</v>
      </c>
      <c r="B40">
        <v>573.99980000000005</v>
      </c>
      <c r="C40">
        <v>245.93</v>
      </c>
      <c r="D40">
        <v>50.75</v>
      </c>
      <c r="E40">
        <v>16.807099999999998</v>
      </c>
      <c r="F40">
        <v>5.14</v>
      </c>
      <c r="G40">
        <v>6.7759999999999998</v>
      </c>
      <c r="H40">
        <v>99.34</v>
      </c>
      <c r="I40">
        <v>84.12</v>
      </c>
      <c r="J40">
        <v>3.65</v>
      </c>
      <c r="K40">
        <v>43.8</v>
      </c>
      <c r="L40" s="2">
        <f>12*(B40-B39)/B39-'tassi 1 mese'!$D42</f>
        <v>-3.873712145286635</v>
      </c>
      <c r="M40" s="2">
        <f>12*(C40-C39)/C39-'tassi 1 mese'!$D42</f>
        <v>0.14729918713399248</v>
      </c>
      <c r="N40" s="2">
        <f>12*(D40-D39)/D39-'tassi 1 mese'!$D42</f>
        <v>1.9972740616482021E-2</v>
      </c>
      <c r="O40" s="2">
        <f>12*(E40-E39)/E39-'tassi 1 mese'!$D42</f>
        <v>6.0289634146340365E-2</v>
      </c>
      <c r="P40" s="2">
        <f>12*(F40-F39)/F39-'tassi 1 mese'!$D42</f>
        <v>0.18081761006289343</v>
      </c>
      <c r="Q40" s="2">
        <f>12*(G40-G39)/G39-'tassi 1 mese'!$D42</f>
        <v>3.5123999999999995</v>
      </c>
      <c r="R40" s="2">
        <f>12*(H40-H39)/H39-'tassi 1 mese'!$D42</f>
        <v>-0.57473700337044142</v>
      </c>
      <c r="S40" s="2">
        <f>12*(I40-I39)/I39-'tassi 1 mese'!$D42</f>
        <v>-0.16817275333416426</v>
      </c>
      <c r="T40" s="2">
        <f>12*(J40-J39)/J39-'tassi 1 mese'!$D42</f>
        <v>-1.2236842105263155</v>
      </c>
      <c r="U40" s="16">
        <f>12*(K40-K39)/K39-'tassi 1 mese'!$D42</f>
        <v>1.1990445859872603</v>
      </c>
    </row>
    <row r="41" spans="1:21" x14ac:dyDescent="0.25">
      <c r="A41" s="9">
        <v>42826</v>
      </c>
      <c r="B41">
        <v>560</v>
      </c>
      <c r="C41">
        <v>237.81</v>
      </c>
      <c r="D41">
        <v>50.67</v>
      </c>
      <c r="E41">
        <v>17.471499999999999</v>
      </c>
      <c r="F41">
        <v>4.76</v>
      </c>
      <c r="G41">
        <v>5.8582000000000001</v>
      </c>
      <c r="H41">
        <v>103.21</v>
      </c>
      <c r="I41">
        <v>87.63</v>
      </c>
      <c r="J41">
        <v>4.5999999999999996</v>
      </c>
      <c r="K41">
        <v>44.357300000000002</v>
      </c>
      <c r="L41" s="2">
        <f>12*(B41-B40)/B40-'tassi 1 mese'!$D43</f>
        <v>-1.0826788476232929</v>
      </c>
      <c r="M41" s="2">
        <f>12*(C41-C40)/C40-'tassi 1 mese'!$D43</f>
        <v>-1.1862103037449683</v>
      </c>
      <c r="N41" s="2">
        <f>12*(D41-D40)/D40-'tassi 1 mese'!$D43</f>
        <v>-0.80891625615763507</v>
      </c>
      <c r="O41" s="2">
        <f>12*(E41-E40)/E40-'tassi 1 mese'!$D43</f>
        <v>-0.31562904962783545</v>
      </c>
      <c r="P41" s="2">
        <f>12*(F41-F40)/F40-'tassi 1 mese'!$D43</f>
        <v>-1.67715953307393</v>
      </c>
      <c r="Q41" s="2">
        <f>12*(G41-G40)/G40-'tassi 1 mese'!$D43</f>
        <v>-2.4153837072018884</v>
      </c>
      <c r="R41" s="2">
        <f>12*(H41-H40)/H40-'tassi 1 mese'!$D43</f>
        <v>-0.32251459633581758</v>
      </c>
      <c r="S41" s="2">
        <f>12*(I41-I40)/I40-'tassi 1 mese'!$D43</f>
        <v>-0.28928673323823251</v>
      </c>
      <c r="T41" s="2">
        <f>12*(J41-J40)/J40-'tassi 1 mese'!$D43</f>
        <v>2.3332876712328758</v>
      </c>
      <c r="U41" s="16">
        <f>12*(K41-K40)/K40-'tassi 1 mese'!$D43</f>
        <v>-0.63731506849314934</v>
      </c>
    </row>
    <row r="42" spans="1:21" x14ac:dyDescent="0.25">
      <c r="A42" s="9">
        <v>42856</v>
      </c>
      <c r="B42">
        <v>547.99980000000005</v>
      </c>
      <c r="C42">
        <v>244.34</v>
      </c>
      <c r="D42">
        <v>46.55</v>
      </c>
      <c r="E42">
        <v>18.557700000000001</v>
      </c>
      <c r="F42">
        <v>5.6</v>
      </c>
      <c r="G42">
        <v>6</v>
      </c>
      <c r="H42">
        <v>103.81</v>
      </c>
      <c r="I42">
        <v>89.74</v>
      </c>
      <c r="J42">
        <v>4.8</v>
      </c>
      <c r="K42">
        <v>42.38</v>
      </c>
      <c r="L42" s="2">
        <f>12*(B42-B41)/B41-'tassi 1 mese'!$D44</f>
        <v>-1.2171471428571419</v>
      </c>
      <c r="M42" s="2">
        <f>12*(C42-C41)/C41-'tassi 1 mese'!$D44</f>
        <v>-0.63049325091459552</v>
      </c>
      <c r="N42" s="2">
        <f>12*(D42-D41)/D41-'tassi 1 mese'!$D44</f>
        <v>-1.9357252812314989</v>
      </c>
      <c r="O42" s="2">
        <f>12*(E42-E41)/E41-'tassi 1 mese'!$D44</f>
        <v>-0.2139621669576155</v>
      </c>
      <c r="P42" s="2">
        <f>12*(F42-F41)/F41-'tassi 1 mese'!$D44</f>
        <v>1.157647058823529</v>
      </c>
      <c r="Q42" s="2">
        <f>12*(G42-G41)/G41-'tassi 1 mese'!$D44</f>
        <v>-0.66953535215595239</v>
      </c>
      <c r="R42" s="2">
        <f>12*(H42-H41)/H41-'tassi 1 mese'!$D44</f>
        <v>-0.89023931789555177</v>
      </c>
      <c r="S42" s="2">
        <f>12*(I42-I41)/I41-'tassi 1 mese'!$D44</f>
        <v>-0.67105785689832254</v>
      </c>
      <c r="T42" s="2">
        <f>12*(J42-J41)/J41-'tassi 1 mese'!$D44</f>
        <v>-0.43826086956521682</v>
      </c>
      <c r="U42" s="16">
        <f>12*(K42-K41)/K41-'tassi 1 mese'!$D44</f>
        <v>-1.4949198440842881</v>
      </c>
    </row>
    <row r="43" spans="1:21" x14ac:dyDescent="0.25">
      <c r="A43" s="9">
        <v>42887</v>
      </c>
      <c r="B43">
        <v>531.99980000000005</v>
      </c>
      <c r="C43">
        <v>257.61009999999999</v>
      </c>
      <c r="D43">
        <v>47.81</v>
      </c>
      <c r="E43">
        <v>17.529299999999999</v>
      </c>
      <c r="F43">
        <v>5.92</v>
      </c>
      <c r="G43">
        <v>8.1999999999999993</v>
      </c>
      <c r="H43">
        <v>111.59</v>
      </c>
      <c r="I43">
        <v>92.28</v>
      </c>
      <c r="J43">
        <v>4.3</v>
      </c>
      <c r="K43">
        <v>48.65</v>
      </c>
      <c r="L43" s="2">
        <f>12*(B43-B42)/B42-'tassi 1 mese'!$D45</f>
        <v>-1.360365091374121</v>
      </c>
      <c r="M43" s="2">
        <f>12*(C43-C42)/C42-'tassi 1 mese'!$D45</f>
        <v>-0.3582802652042244</v>
      </c>
      <c r="N43" s="2">
        <f>12*(D43-D42)/D42-'tassi 1 mese'!$D45</f>
        <v>-0.68518796992481068</v>
      </c>
      <c r="O43" s="2">
        <f>12*(E43-E42)/E42-'tassi 1 mese'!$D45</f>
        <v>-1.674996201037845</v>
      </c>
      <c r="P43" s="2">
        <f>12*(F43-F42)/F42-'tassi 1 mese'!$D45</f>
        <v>-0.32428571428571362</v>
      </c>
      <c r="Q43" s="2">
        <f>12*(G43-G42)/G42-'tassi 1 mese'!$D45</f>
        <v>3.3899999999999988</v>
      </c>
      <c r="R43" s="2">
        <f>12*(H43-H42)/H42-'tassi 1 mese'!$D45</f>
        <v>-0.11066467585011064</v>
      </c>
      <c r="S43" s="2">
        <f>12*(I43-I42)/I42-'tassi 1 mese'!$D45</f>
        <v>-0.67035212837084823</v>
      </c>
      <c r="T43" s="2">
        <f>12*(J43-J42)/J42-'tassi 1 mese'!$D45</f>
        <v>-2.2599999999999998</v>
      </c>
      <c r="U43" s="16">
        <f>12*(K43-K42)/K42-'tassi 1 mese'!$D45</f>
        <v>0.76536573855592138</v>
      </c>
    </row>
    <row r="44" spans="1:21" x14ac:dyDescent="0.25">
      <c r="A44" s="9">
        <v>42917</v>
      </c>
      <c r="B44">
        <v>663.99980000000005</v>
      </c>
      <c r="C44">
        <v>257.7</v>
      </c>
      <c r="D44">
        <v>47.7</v>
      </c>
      <c r="E44">
        <v>15.8711</v>
      </c>
      <c r="F44">
        <v>5.6</v>
      </c>
      <c r="G44">
        <v>8.798</v>
      </c>
      <c r="H44">
        <v>108.1</v>
      </c>
      <c r="I44">
        <v>93.9</v>
      </c>
      <c r="J44">
        <v>4</v>
      </c>
      <c r="K44">
        <v>51.65</v>
      </c>
      <c r="L44" s="2">
        <f>12*(B44-B43)/B43-'tassi 1 mese'!$D46</f>
        <v>1.9274447283626797</v>
      </c>
      <c r="M44" s="2">
        <f>12*(C44-C43)/C43-'tassi 1 mese'!$D46</f>
        <v>-1.0458122759938373</v>
      </c>
      <c r="N44" s="2">
        <f>12*(D44-D43)/D43-'tassi 1 mese'!$D46</f>
        <v>-1.0776092867600919</v>
      </c>
      <c r="O44" s="2">
        <f>12*(E44-E43)/E43-'tassi 1 mese'!$D46</f>
        <v>-2.1851508617001243</v>
      </c>
      <c r="P44" s="2">
        <f>12*(F44-F43)/F43-'tassi 1 mese'!$D46</f>
        <v>-1.6986486486486494</v>
      </c>
      <c r="Q44" s="2">
        <f>12*(G44-G43)/G43-'tassi 1 mese'!$D46</f>
        <v>-0.17487804878048663</v>
      </c>
      <c r="R44" s="2">
        <f>12*(H44-H43)/H43-'tassi 1 mese'!$D46</f>
        <v>-1.4253024464557766</v>
      </c>
      <c r="S44" s="2">
        <f>12*(I44-I43)/I43-'tassi 1 mese'!$D46</f>
        <v>-0.8393368010403115</v>
      </c>
      <c r="T44" s="2">
        <f>12*(J44-J43)/J43-'tassi 1 mese'!$D46</f>
        <v>-1.8872093023255809</v>
      </c>
      <c r="U44" s="16">
        <f>12*(K44-K43)/K43-'tassi 1 mese'!$D46</f>
        <v>-0.31002055498458381</v>
      </c>
    </row>
    <row r="45" spans="1:21" x14ac:dyDescent="0.25">
      <c r="A45" s="9">
        <v>42948</v>
      </c>
      <c r="B45">
        <v>695.99980000000005</v>
      </c>
      <c r="C45">
        <v>264.63990000000001</v>
      </c>
      <c r="D45">
        <v>43.92</v>
      </c>
      <c r="E45">
        <v>18.020399999999999</v>
      </c>
      <c r="F45">
        <v>5.45</v>
      </c>
      <c r="G45">
        <v>6.7443999999999997</v>
      </c>
      <c r="H45">
        <v>106.99</v>
      </c>
      <c r="I45">
        <v>99.37</v>
      </c>
      <c r="J45">
        <v>4.0999999999999996</v>
      </c>
      <c r="K45">
        <v>50.19</v>
      </c>
      <c r="L45" s="2">
        <f>12*(B45-B44)/B44-'tassi 1 mese'!$D47</f>
        <v>-0.41168657279716048</v>
      </c>
      <c r="M45" s="2">
        <f>12*(C45-C44)/C44-'tassi 1 mese'!$D47</f>
        <v>-0.66683818393480676</v>
      </c>
      <c r="N45" s="2">
        <f>12*(D45-D44)/D44-'tassi 1 mese'!$D47</f>
        <v>-1.9409433962264153</v>
      </c>
      <c r="O45" s="2">
        <f>12*(E45-E44)/E44-'tassi 1 mese'!$D47</f>
        <v>0.63506694558033039</v>
      </c>
      <c r="P45" s="2">
        <f>12*(F45-F44)/F44-'tassi 1 mese'!$D47</f>
        <v>-1.3114285714285703</v>
      </c>
      <c r="Q45" s="2">
        <f>12*(G45-G44)/G44-'tassi 1 mese'!$D47</f>
        <v>-3.7910002273243926</v>
      </c>
      <c r="R45" s="2">
        <f>12*(H45-H44)/H44-'tassi 1 mese'!$D47</f>
        <v>-1.1132192414431081</v>
      </c>
      <c r="S45" s="2">
        <f>12*(I45-I44)/I44-'tassi 1 mese'!$D47</f>
        <v>-0.29095846645367429</v>
      </c>
      <c r="T45" s="2">
        <f>12*(J45-J44)/J44-'tassi 1 mese'!$D47</f>
        <v>-0.69000000000000106</v>
      </c>
      <c r="U45" s="16">
        <f>12*(K45-K44)/K44-'tassi 1 mese'!$D47</f>
        <v>-1.3292061955469507</v>
      </c>
    </row>
    <row r="46" spans="1:21" x14ac:dyDescent="0.25">
      <c r="A46" s="9">
        <v>42979</v>
      </c>
      <c r="B46">
        <v>612</v>
      </c>
      <c r="C46">
        <v>268.83010000000002</v>
      </c>
      <c r="D46">
        <v>42.85</v>
      </c>
      <c r="E46">
        <v>17.251999999999999</v>
      </c>
      <c r="F46">
        <v>5.22</v>
      </c>
      <c r="G46">
        <v>9.6</v>
      </c>
      <c r="H46">
        <v>110.89</v>
      </c>
      <c r="I46">
        <v>103.94</v>
      </c>
      <c r="J46">
        <v>3.8</v>
      </c>
      <c r="K46">
        <v>49.22</v>
      </c>
      <c r="L46" s="2">
        <f>12*(B46-B45)/B45-'tassi 1 mese'!$D48</f>
        <v>-2.4882728299634578</v>
      </c>
      <c r="M46" s="2">
        <f>12*(C46-C45)/C45-'tassi 1 mese'!$D48</f>
        <v>-0.84999690522857652</v>
      </c>
      <c r="N46" s="2">
        <f>12*(D46-D45)/D45-'tassi 1 mese'!$D48</f>
        <v>-1.3323497267759563</v>
      </c>
      <c r="O46" s="2">
        <f>12*(E46-E45)/E45-'tassi 1 mese'!$D48</f>
        <v>-1.5516867550109874</v>
      </c>
      <c r="P46" s="2">
        <f>12*(F46-F45)/F45-'tassi 1 mese'!$D48</f>
        <v>-1.5464220183486248</v>
      </c>
      <c r="Q46" s="2">
        <f>12*(G46-G45)/G45-'tassi 1 mese'!$D48</f>
        <v>4.0408374355020467</v>
      </c>
      <c r="R46" s="2">
        <f>12*(H46-H45)/H45-'tassi 1 mese'!$D48</f>
        <v>-0.60257594167679163</v>
      </c>
      <c r="S46" s="2">
        <f>12*(I46-I45)/I45-'tassi 1 mese'!$D48</f>
        <v>-0.48812317600885669</v>
      </c>
      <c r="T46" s="2">
        <f>12*(J46-J45)/J45-'tassi 1 mese'!$D48</f>
        <v>-1.9180487804878044</v>
      </c>
      <c r="U46" s="16">
        <f>12*(K46-K45)/K45-'tassi 1 mese'!$D48</f>
        <v>-1.2719187089061563</v>
      </c>
    </row>
    <row r="47" spans="1:21" x14ac:dyDescent="0.25">
      <c r="A47" s="9">
        <v>43009</v>
      </c>
      <c r="B47">
        <v>682.99980000000005</v>
      </c>
      <c r="C47">
        <v>289.8999</v>
      </c>
      <c r="D47">
        <v>43.2</v>
      </c>
      <c r="E47">
        <v>18.939</v>
      </c>
      <c r="F47">
        <v>5.19</v>
      </c>
      <c r="G47">
        <v>8.6199999999999992</v>
      </c>
      <c r="H47">
        <v>115.21</v>
      </c>
      <c r="I47">
        <v>106.49</v>
      </c>
      <c r="J47">
        <v>4.0999999999999996</v>
      </c>
      <c r="K47">
        <v>47.23</v>
      </c>
      <c r="L47" s="2">
        <f>12*(B47-B46)/B46-'tassi 1 mese'!$D49</f>
        <v>0.26215294117647159</v>
      </c>
      <c r="M47" s="2">
        <f>12*(C47-C46)/C46-'tassi 1 mese'!$D49</f>
        <v>-0.18948924618188268</v>
      </c>
      <c r="N47" s="2">
        <f>12*(D47-D46)/D46-'tassi 1 mese'!$D49</f>
        <v>-1.0319836639439901</v>
      </c>
      <c r="O47" s="2">
        <f>12*(E47-E46)/E46-'tassi 1 mese'!$D49</f>
        <v>4.3429167632739185E-2</v>
      </c>
      <c r="P47" s="2">
        <f>12*(F47-F46)/F46-'tassi 1 mese'!$D49</f>
        <v>-1.1989655172413778</v>
      </c>
      <c r="Q47" s="2">
        <f>12*(G47-G46)/G46-'tassi 1 mese'!$D49</f>
        <v>-2.3550000000000004</v>
      </c>
      <c r="R47" s="2">
        <f>12*(H47-H46)/H46-'tassi 1 mese'!$D49</f>
        <v>-0.66250969429164097</v>
      </c>
      <c r="S47" s="2">
        <f>12*(I47-I46)/I46-'tassi 1 mese'!$D49</f>
        <v>-0.83559938426015035</v>
      </c>
      <c r="T47" s="2">
        <f>12*(J47-J46)/J46-'tassi 1 mese'!$D49</f>
        <v>-0.18263157894736881</v>
      </c>
      <c r="U47" s="16">
        <f>12*(K47-K46)/K46-'tassi 1 mese'!$D49</f>
        <v>-1.6151686306379525</v>
      </c>
    </row>
    <row r="48" spans="1:21" x14ac:dyDescent="0.25">
      <c r="A48" s="9">
        <v>43040</v>
      </c>
      <c r="B48">
        <v>745.99980000000005</v>
      </c>
      <c r="C48">
        <v>294.16989999999998</v>
      </c>
      <c r="D48">
        <v>41.39</v>
      </c>
      <c r="E48">
        <v>18.5808</v>
      </c>
      <c r="F48">
        <v>4.7</v>
      </c>
      <c r="G48">
        <v>6.9980000000000002</v>
      </c>
      <c r="H48">
        <v>103.01</v>
      </c>
      <c r="I48">
        <v>108.86</v>
      </c>
      <c r="J48">
        <v>4.2</v>
      </c>
      <c r="K48">
        <v>51.83</v>
      </c>
      <c r="L48" s="2">
        <f>12*(B48-B47)/B47-'tassi 1 mese'!$D50</f>
        <v>-0.1431182703128171</v>
      </c>
      <c r="M48" s="2">
        <f>12*(C48-C47)/C47-'tassi 1 mese'!$D50</f>
        <v>-1.0732493353740384</v>
      </c>
      <c r="N48" s="2">
        <f>12*(D48-D47)/D47-'tassi 1 mese'!$D50</f>
        <v>-1.7527777777777782</v>
      </c>
      <c r="O48" s="2">
        <f>12*(E48-E47)/E47-'tassi 1 mese'!$D50</f>
        <v>-1.4769602407730082</v>
      </c>
      <c r="P48" s="2">
        <f>12*(F48-F47)/F47-'tassi 1 mese'!$D50</f>
        <v>-2.3829479768786133</v>
      </c>
      <c r="Q48" s="2">
        <f>12*(G48-G47)/G47-'tassi 1 mese'!$D50</f>
        <v>-3.5080046403712286</v>
      </c>
      <c r="R48" s="2">
        <f>12*(H48-H47)/H47-'tassi 1 mese'!$D50</f>
        <v>-2.5207230275149715</v>
      </c>
      <c r="S48" s="2">
        <f>12*(I48-I47)/I47-'tassi 1 mese'!$D50</f>
        <v>-0.98293266973424687</v>
      </c>
      <c r="T48" s="2">
        <f>12*(J48-J47)/J47-'tassi 1 mese'!$D50</f>
        <v>-0.95731707317073012</v>
      </c>
      <c r="U48" s="16">
        <f>12*(K48-K47)/K47-'tassi 1 mese'!$D50</f>
        <v>-8.1251323311454238E-2</v>
      </c>
    </row>
    <row r="49" spans="1:21" x14ac:dyDescent="0.25">
      <c r="A49" s="9">
        <v>43070</v>
      </c>
      <c r="B49">
        <v>820</v>
      </c>
      <c r="C49">
        <v>299.62990000000002</v>
      </c>
      <c r="D49">
        <v>44.2</v>
      </c>
      <c r="E49">
        <v>16.8186</v>
      </c>
      <c r="F49">
        <v>4.49</v>
      </c>
      <c r="G49">
        <v>22.4</v>
      </c>
      <c r="H49">
        <v>104.3</v>
      </c>
      <c r="I49">
        <v>114.96</v>
      </c>
      <c r="J49">
        <v>2.6</v>
      </c>
      <c r="K49">
        <v>57.7</v>
      </c>
      <c r="L49" s="2">
        <f>12*(B49-B48)/B48-'tassi 1 mese'!$D51</f>
        <v>-0.17964793824341618</v>
      </c>
      <c r="M49" s="2">
        <f>12*(C49-C48)/C48-'tassi 1 mese'!$D51</f>
        <v>-1.1472715699328844</v>
      </c>
      <c r="N49" s="2">
        <f>12*(D49-D48)/D48-'tassi 1 mese'!$D51</f>
        <v>-0.55531046146412122</v>
      </c>
      <c r="O49" s="2">
        <f>12*(E49-E48)/E48-'tassi 1 mese'!$D51</f>
        <v>-2.5080780160165332</v>
      </c>
      <c r="P49" s="2">
        <f>12*(F49-F48)/F48-'tassi 1 mese'!$D51</f>
        <v>-1.9061702127659574</v>
      </c>
      <c r="Q49" s="2">
        <f>12*(G49-G48)/G48-'tassi 1 mese'!$D51</f>
        <v>25.040974564161182</v>
      </c>
      <c r="R49" s="2">
        <f>12*(H49-H48)/H48-'tassi 1 mese'!$D51</f>
        <v>-1.2197233278322503</v>
      </c>
      <c r="S49" s="2">
        <f>12*(I49-I48)/I48-'tassi 1 mese'!$D51</f>
        <v>-0.69757670402351712</v>
      </c>
      <c r="T49" s="2">
        <f>12*(J49-J48)/J48-'tassi 1 mese'!$D51</f>
        <v>-5.9414285714285722</v>
      </c>
      <c r="U49" s="16">
        <f>12*(K49-K48)/K48-'tassi 1 mese'!$D51</f>
        <v>-1.0941539648851029E-2</v>
      </c>
    </row>
    <row r="50" spans="1:21" x14ac:dyDescent="0.25">
      <c r="A50" s="9">
        <v>43101</v>
      </c>
      <c r="B50">
        <v>781.99980000000005</v>
      </c>
      <c r="C50">
        <v>306.90989999999999</v>
      </c>
      <c r="D50">
        <v>49.54</v>
      </c>
      <c r="E50">
        <v>16.212</v>
      </c>
      <c r="F50">
        <v>4.38</v>
      </c>
      <c r="G50">
        <v>25</v>
      </c>
      <c r="H50">
        <v>103.62</v>
      </c>
      <c r="I50">
        <v>114.44</v>
      </c>
      <c r="J50">
        <v>2.4</v>
      </c>
      <c r="K50">
        <v>54.06</v>
      </c>
      <c r="L50" s="2">
        <f>12*(B50-B49)/B49-'tassi 1 mese'!$D52</f>
        <v>-1.9961004878048771</v>
      </c>
      <c r="M50" s="2">
        <f>12*(C50-C49)/C49-'tassi 1 mese'!$D52</f>
        <v>-1.1484403125322284</v>
      </c>
      <c r="N50" s="2">
        <f>12*(D50-D49)/D49-'tassi 1 mese'!$D52</f>
        <v>9.7737556561074967E-3</v>
      </c>
      <c r="O50" s="2">
        <f>12*(E50-E49)/E49-'tassi 1 mese'!$D52</f>
        <v>-1.8728065356212766</v>
      </c>
      <c r="P50" s="2">
        <f>12*(F50-F49)/F49-'tassi 1 mese'!$D52</f>
        <v>-1.7339866369710475</v>
      </c>
      <c r="Q50" s="2">
        <f>12*(G50-G49)/G49-'tassi 1 mese'!$D52</f>
        <v>-4.7142857142856265E-2</v>
      </c>
      <c r="R50" s="2">
        <f>12*(H50-H49)/H49-'tassi 1 mese'!$D52</f>
        <v>-1.5182358581016291</v>
      </c>
      <c r="S50" s="2">
        <f>12*(I50-I49)/I49-'tassi 1 mese'!$D52</f>
        <v>-1.4942797494780788</v>
      </c>
      <c r="T50" s="2">
        <f>12*(J50-J49)/J49-'tassi 1 mese'!$D52</f>
        <v>-2.3630769230769237</v>
      </c>
      <c r="U50" s="16">
        <f>12*(K50-K49)/K49-'tassi 1 mese'!$D52</f>
        <v>-2.1970190641247833</v>
      </c>
    </row>
    <row r="51" spans="1:21" x14ac:dyDescent="0.25">
      <c r="A51" s="9">
        <v>43132</v>
      </c>
      <c r="B51">
        <v>697.99980000000005</v>
      </c>
      <c r="C51">
        <v>342.86009999999999</v>
      </c>
      <c r="D51">
        <v>52.62</v>
      </c>
      <c r="E51">
        <v>15.807600000000001</v>
      </c>
      <c r="F51">
        <v>4.22</v>
      </c>
      <c r="G51">
        <v>19.998000000000001</v>
      </c>
      <c r="H51">
        <v>103.04</v>
      </c>
      <c r="I51">
        <v>114.7</v>
      </c>
      <c r="J51">
        <v>2.5499999999999998</v>
      </c>
      <c r="K51">
        <v>58.37</v>
      </c>
      <c r="L51" s="2">
        <f>12*(B51-B50)/B50-'tassi 1 mese'!$D53</f>
        <v>-2.9190028872130145</v>
      </c>
      <c r="M51" s="2">
        <f>12*(C51-C50)/C50-'tassi 1 mese'!$D53</f>
        <v>-0.22436792361536728</v>
      </c>
      <c r="N51" s="2">
        <f>12*(D51-D50)/D50-'tassi 1 mese'!$D53</f>
        <v>-0.88393621316108228</v>
      </c>
      <c r="O51" s="2">
        <f>12*(E51-E50)/E50-'tassi 1 mese'!$D53</f>
        <v>-1.9293338267949658</v>
      </c>
      <c r="P51" s="2">
        <f>12*(F51-F50)/F50-'tassi 1 mese'!$D53</f>
        <v>-2.068356164383562</v>
      </c>
      <c r="Q51" s="2">
        <f>12*(G51-G50)/G50-'tassi 1 mese'!$D53</f>
        <v>-4.0309599999999994</v>
      </c>
      <c r="R51" s="2">
        <f>12*(H51-H50)/H50-'tassi 1 mese'!$D53</f>
        <v>-1.6971685002895192</v>
      </c>
      <c r="S51" s="2">
        <f>12*(I51-I50)/I50-'tassi 1 mese'!$D53</f>
        <v>-1.602736805312827</v>
      </c>
      <c r="T51" s="2">
        <f>12*(J51-J50)/J50-'tassi 1 mese'!$D53</f>
        <v>-0.88000000000000034</v>
      </c>
      <c r="U51" s="16">
        <f>12*(K51-K50)/K50-'tassi 1 mese'!$D53</f>
        <v>-0.67328523862375245</v>
      </c>
    </row>
    <row r="52" spans="1:21" x14ac:dyDescent="0.25">
      <c r="A52" s="9">
        <v>43160</v>
      </c>
      <c r="B52">
        <v>581.99980000000005</v>
      </c>
      <c r="C52">
        <v>339.54</v>
      </c>
      <c r="D52">
        <v>42.3</v>
      </c>
      <c r="E52">
        <v>15.3165</v>
      </c>
      <c r="F52">
        <v>4.08</v>
      </c>
      <c r="G52">
        <v>24.4</v>
      </c>
      <c r="H52">
        <v>102.58</v>
      </c>
      <c r="I52">
        <v>115.02</v>
      </c>
      <c r="J52">
        <v>2.5499999999999998</v>
      </c>
      <c r="K52">
        <v>56.77</v>
      </c>
      <c r="L52" s="2">
        <f>12*(B52-B51)/B51-'tassi 1 mese'!$D54</f>
        <v>-3.6942699123982554</v>
      </c>
      <c r="M52" s="2">
        <f>12*(C52-C51)/C51-'tassi 1 mese'!$D54</f>
        <v>-1.8162024977534557</v>
      </c>
      <c r="N52" s="2">
        <f>12*(D52-D51)/D51-'tassi 1 mese'!$D54</f>
        <v>-4.0534777651083242</v>
      </c>
      <c r="O52" s="2">
        <f>12*(E52-E51)/E51-'tassi 1 mese'!$D54</f>
        <v>-2.0728080163971767</v>
      </c>
      <c r="P52" s="2">
        <f>12*(F52-F51)/F51-'tassi 1 mese'!$D54</f>
        <v>-2.0981042654028426</v>
      </c>
      <c r="Q52" s="2">
        <f>12*(G52-G51)/G51-'tassi 1 mese'!$D54</f>
        <v>0.94146414641464005</v>
      </c>
      <c r="R52" s="2">
        <f>12*(H52-H51)/H51-'tassi 1 mese'!$D54</f>
        <v>-1.7535714285714294</v>
      </c>
      <c r="S52" s="2">
        <f>12*(I52-I51)/I51-'tassi 1 mese'!$D54</f>
        <v>-1.6665213600697479</v>
      </c>
      <c r="T52" s="2">
        <f>12*(J52-J51)/J51-'tassi 1 mese'!$D54</f>
        <v>-1.7</v>
      </c>
      <c r="U52" s="16">
        <f>12*(K52-K51)/K51-'tassi 1 mese'!$D54</f>
        <v>-2.028936097310261</v>
      </c>
    </row>
    <row r="53" spans="1:21" x14ac:dyDescent="0.25">
      <c r="A53" s="9">
        <v>43191</v>
      </c>
      <c r="B53">
        <v>541.99980000000005</v>
      </c>
      <c r="C53">
        <v>345.52</v>
      </c>
      <c r="D53">
        <v>40.39</v>
      </c>
      <c r="E53">
        <v>14.5596</v>
      </c>
      <c r="F53">
        <v>4.29</v>
      </c>
      <c r="G53">
        <v>20</v>
      </c>
      <c r="H53">
        <v>98.66</v>
      </c>
      <c r="I53">
        <v>115.74</v>
      </c>
      <c r="J53">
        <v>2.65</v>
      </c>
      <c r="K53">
        <v>55.92</v>
      </c>
      <c r="L53" s="2">
        <f>12*(B53-B52)/B52-'tassi 1 mese'!$D55</f>
        <v>-2.6647425514579215</v>
      </c>
      <c r="M53" s="2">
        <f>12*(C53-C52)/C52-'tassi 1 mese'!$D55</f>
        <v>-1.628655239441599</v>
      </c>
      <c r="N53" s="2">
        <f>12*(D53-D52)/D52-'tassi 1 mese'!$D55</f>
        <v>-2.3818439716312048</v>
      </c>
      <c r="O53" s="2">
        <f>12*(E53-E52)/E52-'tassi 1 mese'!$D55</f>
        <v>-2.4330075408872784</v>
      </c>
      <c r="P53" s="2">
        <f>12*(F53-F52)/F52-'tassi 1 mese'!$D55</f>
        <v>-1.2223529411764709</v>
      </c>
      <c r="Q53" s="2">
        <f>12*(G53-G52)/G52-'tassi 1 mese'!$D55</f>
        <v>-4.0039344262295078</v>
      </c>
      <c r="R53" s="2">
        <f>12*(H53-H52)/H52-'tassi 1 mese'!$D55</f>
        <v>-2.2985689218171186</v>
      </c>
      <c r="S53" s="2">
        <f>12*(I53-I52)/I52-'tassi 1 mese'!$D55</f>
        <v>-1.7648826291079813</v>
      </c>
      <c r="T53" s="2">
        <f>12*(J53-J52)/J52-'tassi 1 mese'!$D55</f>
        <v>-1.3694117647058821</v>
      </c>
      <c r="U53" s="16">
        <f>12*(K53-K52)/K52-'tassi 1 mese'!$D55</f>
        <v>-2.0196723621631145</v>
      </c>
    </row>
    <row r="54" spans="1:21" x14ac:dyDescent="0.25">
      <c r="A54" s="9">
        <v>43221</v>
      </c>
      <c r="B54">
        <v>473.99979999999999</v>
      </c>
      <c r="C54">
        <v>307.22000000000003</v>
      </c>
      <c r="D54">
        <v>42.94</v>
      </c>
      <c r="E54">
        <v>15.986700000000001</v>
      </c>
      <c r="F54">
        <v>5.19</v>
      </c>
      <c r="G54">
        <v>20</v>
      </c>
      <c r="H54">
        <v>98.48</v>
      </c>
      <c r="I54">
        <v>117.94</v>
      </c>
      <c r="J54">
        <v>2.75</v>
      </c>
      <c r="K54">
        <v>55.92</v>
      </c>
      <c r="L54" s="2">
        <f>12*(B54-B53)/B53-'tassi 1 mese'!$D56</f>
        <v>-3.3955356108987504</v>
      </c>
      <c r="M54" s="2">
        <f>12*(C54-C53)/C53-'tassi 1 mese'!$D56</f>
        <v>-3.2201690206066202</v>
      </c>
      <c r="N54" s="2">
        <f>12*(D54-D53)/D53-'tassi 1 mese'!$D56</f>
        <v>-1.1323867293884633</v>
      </c>
      <c r="O54" s="2">
        <f>12*(E54-E53)/E53-'tassi 1 mese'!$D56</f>
        <v>-0.71378636775735482</v>
      </c>
      <c r="P54" s="2">
        <f>12*(F54-F53)/F53-'tassi 1 mese'!$D56</f>
        <v>0.62748251748251849</v>
      </c>
      <c r="Q54" s="2">
        <f>12*(G54-G53)/G53-'tassi 1 mese'!$D56</f>
        <v>-1.89</v>
      </c>
      <c r="R54" s="2">
        <f>12*(H54-H53)/H53-'tassi 1 mese'!$D56</f>
        <v>-1.9118933711737269</v>
      </c>
      <c r="S54" s="2">
        <f>12*(I54-I53)/I53-'tassi 1 mese'!$D56</f>
        <v>-1.6619025401762566</v>
      </c>
      <c r="T54" s="2">
        <f>12*(J54-J53)/J53-'tassi 1 mese'!$D56</f>
        <v>-1.4371698113207543</v>
      </c>
      <c r="U54" s="16">
        <f>12*(K54-K53)/K53-'tassi 1 mese'!$D56</f>
        <v>-1.89</v>
      </c>
    </row>
    <row r="55" spans="1:21" x14ac:dyDescent="0.25">
      <c r="A55" s="9">
        <v>43252</v>
      </c>
      <c r="B55">
        <v>397.99979999999999</v>
      </c>
      <c r="C55">
        <v>329.99</v>
      </c>
      <c r="D55">
        <v>43.5</v>
      </c>
      <c r="E55">
        <v>12.144600000000001</v>
      </c>
      <c r="F55">
        <v>5.4</v>
      </c>
      <c r="G55">
        <v>30.2</v>
      </c>
      <c r="H55">
        <v>99.04</v>
      </c>
      <c r="I55">
        <v>132.57</v>
      </c>
      <c r="J55">
        <v>2.9</v>
      </c>
      <c r="K55">
        <v>58.7</v>
      </c>
      <c r="L55" s="2">
        <f>12*(B55-B54)/B54-'tassi 1 mese'!$D57</f>
        <v>-3.8140514447474452</v>
      </c>
      <c r="M55" s="2">
        <f>12*(C55-C54)/C54-'tassi 1 mese'!$D57</f>
        <v>-1.0006047783347445</v>
      </c>
      <c r="N55" s="2">
        <f>12*(D55-D54)/D54-'tassi 1 mese'!$D57</f>
        <v>-1.7335025617140187</v>
      </c>
      <c r="O55" s="2">
        <f>12*(E55-E54)/E54-'tassi 1 mese'!$D57</f>
        <v>-4.7739723019760172</v>
      </c>
      <c r="P55" s="2">
        <f>12*(F55-F54)/F54-'tassi 1 mese'!$D57</f>
        <v>-1.4044508670520233</v>
      </c>
      <c r="Q55" s="2">
        <f>12*(G55-G54)/G54-'tassi 1 mese'!$D57</f>
        <v>4.2299999999999995</v>
      </c>
      <c r="R55" s="2">
        <f>12*(H55-H54)/H54-'tassi 1 mese'!$D57</f>
        <v>-1.8217627944760353</v>
      </c>
      <c r="S55" s="2">
        <f>12*(I55-I54)/I54-'tassi 1 mese'!$D57</f>
        <v>-0.4014464982194339</v>
      </c>
      <c r="T55" s="2">
        <f>12*(J55-J54)/J54-'tassi 1 mese'!$D57</f>
        <v>-1.2354545454545458</v>
      </c>
      <c r="U55" s="16">
        <f>12*(K55-K54)/K54-'tassi 1 mese'!$D57</f>
        <v>-1.2934334763948496</v>
      </c>
    </row>
    <row r="56" spans="1:21" x14ac:dyDescent="0.25">
      <c r="A56" s="9">
        <v>43282</v>
      </c>
      <c r="B56">
        <v>393.99979999999999</v>
      </c>
      <c r="C56">
        <v>308.87009999999998</v>
      </c>
      <c r="D56">
        <v>47.41</v>
      </c>
      <c r="E56">
        <v>12.0694</v>
      </c>
      <c r="F56">
        <v>5.49</v>
      </c>
      <c r="G56">
        <v>32.200000000000003</v>
      </c>
      <c r="H56">
        <v>99.34</v>
      </c>
      <c r="I56">
        <v>140.22</v>
      </c>
      <c r="J56">
        <v>3.05</v>
      </c>
      <c r="K56">
        <v>56.454999999999998</v>
      </c>
      <c r="L56" s="2">
        <f>12*(B56-B55)/B55-'tassi 1 mese'!$D58</f>
        <v>-2.1106030756799377</v>
      </c>
      <c r="M56" s="2">
        <f>12*(C56-C55)/C55-'tassi 1 mese'!$D58</f>
        <v>-2.7580196369586969</v>
      </c>
      <c r="N56" s="2">
        <f>12*(D56-D55)/D55-'tassi 1 mese'!$D58</f>
        <v>-0.91137931034482844</v>
      </c>
      <c r="O56" s="2">
        <f>12*(E56-E55)/E55-'tassi 1 mese'!$D58</f>
        <v>-2.0643046292179248</v>
      </c>
      <c r="P56" s="2">
        <f>12*(F56-F55)/F55-'tassi 1 mese'!$D58</f>
        <v>-1.7900000000000003</v>
      </c>
      <c r="Q56" s="2">
        <f>12*(G56-G55)/G55-'tassi 1 mese'!$D58</f>
        <v>-1.1952980132450317</v>
      </c>
      <c r="R56" s="2">
        <f>12*(H56-H55)/H55-'tassi 1 mese'!$D58</f>
        <v>-1.9536510500807758</v>
      </c>
      <c r="S56" s="2">
        <f>12*(I56-I55)/I55-'tassi 1 mese'!$D58</f>
        <v>-1.2975356415478609</v>
      </c>
      <c r="T56" s="2">
        <f>12*(J56-J55)/J55-'tassi 1 mese'!$D58</f>
        <v>-1.3693103448275865</v>
      </c>
      <c r="U56" s="16">
        <f>12*(K56-K55)/K55-'tassi 1 mese'!$D58</f>
        <v>-2.4489437819420794</v>
      </c>
    </row>
    <row r="57" spans="1:21" x14ac:dyDescent="0.25">
      <c r="A57" s="9">
        <v>43313</v>
      </c>
      <c r="B57">
        <v>339.99979999999999</v>
      </c>
      <c r="C57">
        <v>300.8999</v>
      </c>
      <c r="D57">
        <v>47.82</v>
      </c>
      <c r="E57">
        <v>11.803699999999999</v>
      </c>
      <c r="F57">
        <v>5.36</v>
      </c>
      <c r="G57">
        <v>32.200000000000003</v>
      </c>
      <c r="H57">
        <v>111.97</v>
      </c>
      <c r="I57">
        <v>148.06</v>
      </c>
      <c r="J57">
        <v>2.75</v>
      </c>
      <c r="K57">
        <v>58.645000000000003</v>
      </c>
      <c r="L57" s="2">
        <f>12*(B57-B56)/B56-'tassi 1 mese'!$D59</f>
        <v>-3.7146708856197388</v>
      </c>
      <c r="M57" s="2">
        <f>12*(C57-C56)/C56-'tassi 1 mese'!$D59</f>
        <v>-2.3796525044023351</v>
      </c>
      <c r="N57" s="2">
        <f>12*(D57-D56)/D56-'tassi 1 mese'!$D59</f>
        <v>-1.9662244252267442</v>
      </c>
      <c r="O57" s="2">
        <f>12*(E57-E56)/E56-'tassi 1 mese'!$D59</f>
        <v>-2.3341722040863679</v>
      </c>
      <c r="P57" s="2">
        <f>12*(F57-F56)/F56-'tassi 1 mese'!$D59</f>
        <v>-2.3541530054644806</v>
      </c>
      <c r="Q57" s="2">
        <f>12*(G57-G56)/G56-'tassi 1 mese'!$D59</f>
        <v>-2.0699999999999998</v>
      </c>
      <c r="R57" s="2">
        <f>12*(H57-H56)/H56-'tassi 1 mese'!$D59</f>
        <v>-0.54433058184014538</v>
      </c>
      <c r="S57" s="2">
        <f>12*(I57-I56)/I56-'tassi 1 mese'!$D59</f>
        <v>-1.3990543431750102</v>
      </c>
      <c r="T57" s="2">
        <f>12*(J57-J56)/J56-'tassi 1 mese'!$D59</f>
        <v>-3.2503278688524579</v>
      </c>
      <c r="U57" s="16">
        <f>12*(K57-K56)/K56-'tassi 1 mese'!$D59</f>
        <v>-1.6044965016384718</v>
      </c>
    </row>
    <row r="58" spans="1:21" x14ac:dyDescent="0.25">
      <c r="A58" s="9">
        <v>43344</v>
      </c>
      <c r="B58">
        <v>385.99979999999999</v>
      </c>
      <c r="C58">
        <v>298.49</v>
      </c>
      <c r="D58">
        <v>57.99</v>
      </c>
      <c r="E58">
        <v>11.6477</v>
      </c>
      <c r="F58">
        <v>5.55</v>
      </c>
      <c r="G58">
        <v>42</v>
      </c>
      <c r="H58">
        <v>116.19</v>
      </c>
      <c r="I58">
        <v>158.61000000000001</v>
      </c>
      <c r="J58">
        <v>2.9</v>
      </c>
      <c r="K58">
        <v>60.58</v>
      </c>
      <c r="L58" s="2">
        <f>12*(B58-B57)/B57-'tassi 1 mese'!$D60</f>
        <v>-0.52646963321743123</v>
      </c>
      <c r="M58" s="2">
        <f>12*(C58-C57)/C57-'tassi 1 mese'!$D60</f>
        <v>-2.2461077089091752</v>
      </c>
      <c r="N58" s="2">
        <f>12*(D58-D57)/D57-'tassi 1 mese'!$D60</f>
        <v>0.40207026348808084</v>
      </c>
      <c r="O58" s="2">
        <f>12*(E58-E57)/E57-'tassi 1 mese'!$D60</f>
        <v>-2.3085943390631738</v>
      </c>
      <c r="P58" s="2">
        <f>12*(F58-F57)/F57-'tassi 1 mese'!$D60</f>
        <v>-1.7246268656716428</v>
      </c>
      <c r="Q58" s="2">
        <f>12*(G58-G57)/G57-'tassi 1 mese'!$D60</f>
        <v>1.5021739130434768</v>
      </c>
      <c r="R58" s="2">
        <f>12*(H58-H57)/H57-'tassi 1 mese'!$D60</f>
        <v>-1.6977360007144771</v>
      </c>
      <c r="S58" s="2">
        <f>12*(I58-I57)/I57-'tassi 1 mese'!$D60</f>
        <v>-1.2949412400378215</v>
      </c>
      <c r="T58" s="2">
        <f>12*(J58-J57)/J57-'tassi 1 mese'!$D60</f>
        <v>-1.4954545454545456</v>
      </c>
      <c r="U58" s="16">
        <f>12*(K58-K57)/K57-'tassi 1 mese'!$D60</f>
        <v>-1.7540583169920718</v>
      </c>
    </row>
    <row r="59" spans="1:21" x14ac:dyDescent="0.25">
      <c r="A59" s="9">
        <v>43374</v>
      </c>
      <c r="B59">
        <v>357.99979999999999</v>
      </c>
      <c r="C59">
        <v>318.5</v>
      </c>
      <c r="D59">
        <v>53.66</v>
      </c>
      <c r="E59">
        <v>12.011699999999999</v>
      </c>
      <c r="F59">
        <v>5.46</v>
      </c>
      <c r="G59">
        <v>50.599899999999998</v>
      </c>
      <c r="H59">
        <v>117.73</v>
      </c>
      <c r="I59">
        <v>159.93</v>
      </c>
      <c r="J59">
        <v>2.87</v>
      </c>
      <c r="K59">
        <v>60.58</v>
      </c>
      <c r="L59" s="2">
        <f>12*(B59-B58)/B58-'tassi 1 mese'!$D61</f>
        <v>-3.1604667722625761</v>
      </c>
      <c r="M59" s="2">
        <f>12*(C59-C58)/C58-'tassi 1 mese'!$D61</f>
        <v>-1.4855509397299747</v>
      </c>
      <c r="N59" s="2">
        <f>12*(D59-D58)/D58-'tassi 1 mese'!$D61</f>
        <v>-3.1860165545783765</v>
      </c>
      <c r="O59" s="2">
        <f>12*(E59-E58)/E58-'tassi 1 mese'!$D61</f>
        <v>-1.9149903414408005</v>
      </c>
      <c r="P59" s="2">
        <f>12*(F59-F58)/F58-'tassi 1 mese'!$D61</f>
        <v>-2.4845945945945944</v>
      </c>
      <c r="Q59" s="2">
        <f>12*(G59-G58)/G58-'tassi 1 mese'!$D61</f>
        <v>0.16711428571428533</v>
      </c>
      <c r="R59" s="2">
        <f>12*(H59-H58)/H58-'tassi 1 mese'!$D61</f>
        <v>-2.1309501678285558</v>
      </c>
      <c r="S59" s="2">
        <f>12*(I59-I58)/I58-'tassi 1 mese'!$D61</f>
        <v>-2.1901324002269722</v>
      </c>
      <c r="T59" s="2">
        <f>12*(J59-J58)/J58-'tassi 1 mese'!$D61</f>
        <v>-2.4141379310344822</v>
      </c>
      <c r="U59" s="16">
        <f>12*(K59-K58)/K58-'tassi 1 mese'!$D61</f>
        <v>-2.29</v>
      </c>
    </row>
    <row r="60" spans="1:21" x14ac:dyDescent="0.25">
      <c r="A60" s="9">
        <v>43405</v>
      </c>
      <c r="B60">
        <v>339.99979999999999</v>
      </c>
      <c r="C60">
        <v>273.1499</v>
      </c>
      <c r="D60">
        <v>48.62</v>
      </c>
      <c r="E60">
        <v>10.8215</v>
      </c>
      <c r="F60">
        <v>6.51</v>
      </c>
      <c r="G60">
        <v>53.4</v>
      </c>
      <c r="H60">
        <v>111.38</v>
      </c>
      <c r="I60">
        <v>140.80000000000001</v>
      </c>
      <c r="J60">
        <v>2.82</v>
      </c>
      <c r="K60">
        <v>58.975000000000001</v>
      </c>
      <c r="L60" s="2">
        <f>12*(B60-B59)/B59-'tassi 1 mese'!$D62</f>
        <v>-2.9233522923755819</v>
      </c>
      <c r="M60" s="2">
        <f>12*(C60-C59)/C59-'tassi 1 mese'!$D62</f>
        <v>-4.0286379905808474</v>
      </c>
      <c r="N60" s="2">
        <f>12*(D60-D59)/D59-'tassi 1 mese'!$D62</f>
        <v>-3.4470965337308979</v>
      </c>
      <c r="O60" s="2">
        <f>12*(E60-E59)/E59-'tassi 1 mese'!$D62</f>
        <v>-3.5090406853318004</v>
      </c>
      <c r="P60" s="2">
        <f>12*(F60-F59)/F59-'tassi 1 mese'!$D62</f>
        <v>-1.2307692307692353E-2</v>
      </c>
      <c r="Q60" s="2">
        <f>12*(G60-G59)/G59-'tassi 1 mese'!$D62</f>
        <v>-1.6559433516667026</v>
      </c>
      <c r="R60" s="2">
        <f>12*(H60-H59)/H59-'tassi 1 mese'!$D62</f>
        <v>-2.9672436931962975</v>
      </c>
      <c r="S60" s="2">
        <f>12*(I60-I59)/I59-'tassi 1 mese'!$D62</f>
        <v>-3.7553779778653156</v>
      </c>
      <c r="T60" s="2">
        <f>12*(J60-J59)/J59-'tassi 1 mese'!$D62</f>
        <v>-2.5290592334494781</v>
      </c>
      <c r="U60" s="16">
        <f>12*(K60-K59)/K59-'tassi 1 mese'!$D62</f>
        <v>-2.6379267084846476</v>
      </c>
    </row>
    <row r="61" spans="1:21" x14ac:dyDescent="0.25">
      <c r="A61" s="9">
        <v>43435</v>
      </c>
      <c r="B61">
        <v>305.99979999999999</v>
      </c>
      <c r="C61">
        <v>261.47000000000003</v>
      </c>
      <c r="D61">
        <v>49.5</v>
      </c>
      <c r="E61">
        <v>12.918799999999999</v>
      </c>
      <c r="F61">
        <v>6.43</v>
      </c>
      <c r="G61">
        <v>72</v>
      </c>
      <c r="H61">
        <v>112.47</v>
      </c>
      <c r="I61">
        <v>159.27000000000001</v>
      </c>
      <c r="J61">
        <v>2.6</v>
      </c>
      <c r="K61">
        <v>58.975000000000001</v>
      </c>
      <c r="L61" s="2">
        <f>12*(B61-B60)/B60-'tassi 1 mese'!$D63</f>
        <v>-3.6000007058827679</v>
      </c>
      <c r="M61" s="2">
        <f>12*(C61-C60)/C60-'tassi 1 mese'!$D63</f>
        <v>-2.9131204514444256</v>
      </c>
      <c r="N61" s="2">
        <f>12*(D61-D60)/D60-'tassi 1 mese'!$D63</f>
        <v>-2.1828054298642527</v>
      </c>
      <c r="O61" s="2">
        <f>12*(E61-E60)/E60-'tassi 1 mese'!$D63</f>
        <v>-7.4296539296771602E-2</v>
      </c>
      <c r="P61" s="2">
        <f>12*(F61-F60)/F60-'tassi 1 mese'!$D63</f>
        <v>-2.5474654377880186</v>
      </c>
      <c r="Q61" s="2">
        <f>12*(G61-G60)/G60-'tassi 1 mese'!$D63</f>
        <v>1.7797752808988769</v>
      </c>
      <c r="R61" s="2">
        <f>12*(H61-H60)/H60-'tassi 1 mese'!$D63</f>
        <v>-2.2825641946489492</v>
      </c>
      <c r="S61" s="2">
        <f>12*(I61-I60)/I60-'tassi 1 mese'!$D63</f>
        <v>-0.8258522727272728</v>
      </c>
      <c r="T61" s="2">
        <f>12*(J61-J60)/J60-'tassi 1 mese'!$D63</f>
        <v>-3.3361702127659565</v>
      </c>
      <c r="U61" s="16">
        <f>12*(K61-K60)/K60-'tassi 1 mese'!$D63</f>
        <v>-2.4</v>
      </c>
    </row>
    <row r="62" spans="1:21" x14ac:dyDescent="0.25">
      <c r="A62" s="9">
        <v>43466</v>
      </c>
      <c r="B62">
        <v>275.99979999999999</v>
      </c>
      <c r="C62">
        <v>244.9</v>
      </c>
      <c r="D62">
        <v>42.37</v>
      </c>
      <c r="E62">
        <v>10.9168</v>
      </c>
      <c r="F62">
        <v>5.73</v>
      </c>
      <c r="G62">
        <v>76.2</v>
      </c>
      <c r="H62">
        <v>102.65</v>
      </c>
      <c r="I62">
        <v>148.29</v>
      </c>
      <c r="J62">
        <v>2.23</v>
      </c>
      <c r="K62">
        <v>58.975000000000001</v>
      </c>
      <c r="L62" s="2">
        <f>12*(B62-B61)/B61-'tassi 1 mese'!$D64</f>
        <v>-3.5364713571708215</v>
      </c>
      <c r="M62" s="2">
        <f>12*(C62-C61)/C61-'tassi 1 mese'!$D64</f>
        <v>-3.1204696523501747</v>
      </c>
      <c r="N62" s="2">
        <f>12*(D62-D61)/D61-'tassi 1 mese'!$D64</f>
        <v>-4.0884848484848488</v>
      </c>
      <c r="O62" s="2">
        <f>12*(E62-E61)/E61-'tassi 1 mese'!$D64</f>
        <v>-4.2196154441588991</v>
      </c>
      <c r="P62" s="2">
        <f>12*(F62-F61)/F61-'tassi 1 mese'!$D64</f>
        <v>-3.6663763608087079</v>
      </c>
      <c r="Q62" s="2">
        <f>12*(G62-G61)/G61-'tassi 1 mese'!$D64</f>
        <v>-1.6599999999999993</v>
      </c>
      <c r="R62" s="2">
        <f>12*(H62-H61)/H61-'tassi 1 mese'!$D64</f>
        <v>-3.4077460656174972</v>
      </c>
      <c r="S62" s="2">
        <f>12*(I62-I61)/I61-'tassi 1 mese'!$D64</f>
        <v>-3.1872744396308166</v>
      </c>
      <c r="T62" s="2">
        <f>12*(J62-J61)/J61-'tassi 1 mese'!$D64</f>
        <v>-4.0676923076923082</v>
      </c>
      <c r="U62" s="16">
        <f>12*(K62-K61)/K61-'tassi 1 mese'!$D64</f>
        <v>-2.36</v>
      </c>
    </row>
    <row r="63" spans="1:21" x14ac:dyDescent="0.25">
      <c r="A63" s="9">
        <v>43497</v>
      </c>
      <c r="B63">
        <v>347.99979999999999</v>
      </c>
      <c r="C63">
        <v>272.95999999999998</v>
      </c>
      <c r="D63">
        <v>49.6</v>
      </c>
      <c r="E63">
        <v>13.236499999999999</v>
      </c>
      <c r="F63">
        <v>7.1</v>
      </c>
      <c r="G63">
        <v>78.599999999999994</v>
      </c>
      <c r="H63">
        <v>112.57</v>
      </c>
      <c r="I63">
        <v>170.52</v>
      </c>
      <c r="J63">
        <v>2.58</v>
      </c>
      <c r="K63">
        <v>57.8</v>
      </c>
      <c r="L63" s="2">
        <f>12*(B63-B62)/B62-'tassi 1 mese'!$D65</f>
        <v>0.7304370510413416</v>
      </c>
      <c r="M63" s="2">
        <f>12*(C63-C62)/C62-'tassi 1 mese'!$D65</f>
        <v>-1.0250714577378535</v>
      </c>
      <c r="N63" s="2">
        <f>12*(D63-D62)/D62-'tassi 1 mese'!$D65</f>
        <v>-0.35232475808354824</v>
      </c>
      <c r="O63" s="2">
        <f>12*(E63-E62)/E62-'tassi 1 mese'!$D65</f>
        <v>0.14986809321412764</v>
      </c>
      <c r="P63" s="2">
        <f>12*(F63-F62)/F62-'tassi 1 mese'!$D65</f>
        <v>0.46910994764397751</v>
      </c>
      <c r="Q63" s="2">
        <f>12*(G63-G62)/G62-'tassi 1 mese'!$D65</f>
        <v>-2.0220472440944892</v>
      </c>
      <c r="R63" s="2">
        <f>12*(H63-H62)/H62-'tassi 1 mese'!$D65</f>
        <v>-1.240331222601073</v>
      </c>
      <c r="S63" s="2">
        <f>12*(I63-I62)/I62-'tassi 1 mese'!$D65</f>
        <v>-0.60109245397531708</v>
      </c>
      <c r="T63" s="2">
        <f>12*(J63-J62)/J62-'tassi 1 mese'!$D65</f>
        <v>-0.51659192825112044</v>
      </c>
      <c r="U63" s="16">
        <f>12*(K63-K62)/K62-'tassi 1 mese'!$D65</f>
        <v>-2.6390843577787204</v>
      </c>
    </row>
    <row r="64" spans="1:21" x14ac:dyDescent="0.25">
      <c r="A64" s="9">
        <v>43525</v>
      </c>
      <c r="B64">
        <v>336</v>
      </c>
      <c r="C64">
        <v>287</v>
      </c>
      <c r="D64">
        <v>54.9</v>
      </c>
      <c r="E64">
        <v>13.016999999999999</v>
      </c>
      <c r="F64">
        <v>7.54</v>
      </c>
      <c r="G64">
        <v>82</v>
      </c>
      <c r="H64">
        <v>121.3</v>
      </c>
      <c r="I64">
        <v>180.5</v>
      </c>
      <c r="J64">
        <v>2.59</v>
      </c>
      <c r="K64">
        <v>49.680999999999997</v>
      </c>
      <c r="L64" s="2">
        <f>12*(B64-B63)/B63-'tassi 1 mese'!$D66</f>
        <v>-2.763786444704853</v>
      </c>
      <c r="M64" s="2">
        <f>12*(C64-C63)/C63-'tassi 1 mese'!$D66</f>
        <v>-1.7327667057444307</v>
      </c>
      <c r="N64" s="2">
        <f>12*(D64-D63)/D63-'tassi 1 mese'!$D66</f>
        <v>-1.0677419354838718</v>
      </c>
      <c r="O64" s="2">
        <f>12*(E64-E63)/E63-'tassi 1 mese'!$D66</f>
        <v>-2.5489952026593135</v>
      </c>
      <c r="P64" s="2">
        <f>12*(F64-F63)/F63-'tassi 1 mese'!$D66</f>
        <v>-1.6063380281690134</v>
      </c>
      <c r="Q64" s="2">
        <f>12*(G64-G63)/G63-'tassi 1 mese'!$D66</f>
        <v>-1.8309160305343504</v>
      </c>
      <c r="R64" s="2">
        <f>12*(H64-H63)/H63-'tassi 1 mese'!$D66</f>
        <v>-1.4193790530336674</v>
      </c>
      <c r="S64" s="2">
        <f>12*(I64-I63)/I63-'tassi 1 mese'!$D66</f>
        <v>-1.6476776917663627</v>
      </c>
      <c r="T64" s="2">
        <f>12*(J64-J63)/J63-'tassi 1 mese'!$D66</f>
        <v>-2.3034883720930242</v>
      </c>
      <c r="U64" s="16">
        <f>12*(K64-K63)/K63-'tassi 1 mese'!$D66</f>
        <v>-4.0356055363321799</v>
      </c>
    </row>
    <row r="65" spans="1:21" x14ac:dyDescent="0.25">
      <c r="A65" s="9">
        <v>43556</v>
      </c>
      <c r="B65">
        <v>287.99979999999999</v>
      </c>
      <c r="C65">
        <v>274.11009999999999</v>
      </c>
      <c r="D65">
        <v>55.5</v>
      </c>
      <c r="E65">
        <v>13.398300000000001</v>
      </c>
      <c r="F65">
        <v>6.79</v>
      </c>
      <c r="G65">
        <v>86.599900000000005</v>
      </c>
      <c r="H65">
        <v>126.8</v>
      </c>
      <c r="I65">
        <v>185.96</v>
      </c>
      <c r="J65">
        <v>2.65</v>
      </c>
      <c r="K65">
        <v>46.5</v>
      </c>
      <c r="L65" s="2">
        <f>12*(B65-B64)/B64-'tassi 1 mese'!$D67</f>
        <v>-4.0942928571428574</v>
      </c>
      <c r="M65" s="2">
        <f>12*(C65-C64)/C64-'tassi 1 mese'!$D67</f>
        <v>-2.9189505226480841</v>
      </c>
      <c r="N65" s="2">
        <f>12*(D65-D64)/D64-'tassi 1 mese'!$D67</f>
        <v>-2.2488524590163932</v>
      </c>
      <c r="O65" s="2">
        <f>12*(E65-E64)/E64-'tassi 1 mese'!$D67</f>
        <v>-2.0284904355842346</v>
      </c>
      <c r="P65" s="2">
        <f>12*(F65-F64)/F64-'tassi 1 mese'!$D67</f>
        <v>-3.5736339522546419</v>
      </c>
      <c r="Q65" s="2">
        <f>12*(G65-G64)/G64-'tassi 1 mese'!$D67</f>
        <v>-1.7068439024390236</v>
      </c>
      <c r="R65" s="2">
        <f>12*(H65-H64)/H64-'tassi 1 mese'!$D67</f>
        <v>-1.8358944765045342</v>
      </c>
      <c r="S65" s="2">
        <f>12*(I65-I64)/I64-'tassi 1 mese'!$D67</f>
        <v>-2.0170083102493068</v>
      </c>
      <c r="T65" s="2">
        <f>12*(J65-J64)/J64-'tassi 1 mese'!$D67</f>
        <v>-2.1020077220077216</v>
      </c>
      <c r="U65" s="16">
        <f>12*(K65-K64)/K64-'tassi 1 mese'!$D67</f>
        <v>-3.1483420221010037</v>
      </c>
    </row>
    <row r="66" spans="1:21" x14ac:dyDescent="0.25">
      <c r="A66" s="9">
        <v>43586</v>
      </c>
      <c r="B66">
        <v>289.99979999999999</v>
      </c>
      <c r="C66">
        <v>289.31009999999998</v>
      </c>
      <c r="D66">
        <v>66.7</v>
      </c>
      <c r="E66">
        <v>13.7796</v>
      </c>
      <c r="F66">
        <v>8.2899999999999991</v>
      </c>
      <c r="G66">
        <v>89</v>
      </c>
      <c r="H66">
        <v>118.65</v>
      </c>
      <c r="I66">
        <v>194.44</v>
      </c>
      <c r="J66">
        <v>2.4700000000000002</v>
      </c>
      <c r="K66">
        <v>46.5</v>
      </c>
      <c r="L66" s="2">
        <f>12*(B66-B65)/B65-'tassi 1 mese'!$D68</f>
        <v>-2.2166666087962561</v>
      </c>
      <c r="M66" s="2">
        <f>12*(C66-C65)/C65-'tassi 1 mese'!$D68</f>
        <v>-1.6345739540425548</v>
      </c>
      <c r="N66" s="2">
        <f>12*(D66-D65)/D65-'tassi 1 mese'!$D68</f>
        <v>0.12162162162162238</v>
      </c>
      <c r="O66" s="2">
        <f>12*(E66-E65)/E65-'tassi 1 mese'!$D68</f>
        <v>-1.9584939880432595</v>
      </c>
      <c r="P66" s="2">
        <f>12*(F66-F65)/F65-'tassi 1 mese'!$D68</f>
        <v>0.35095729013254662</v>
      </c>
      <c r="Q66" s="2">
        <f>12*(G66-G65)/G65-'tassi 1 mese'!$D68</f>
        <v>-1.9674222487554842</v>
      </c>
      <c r="R66" s="2">
        <f>12*(H66-H65)/H65-'tassi 1 mese'!$D68</f>
        <v>-3.0712933753943208</v>
      </c>
      <c r="S66" s="2">
        <f>12*(I66-I65)/I65-'tassi 1 mese'!$D68</f>
        <v>-1.752785545278555</v>
      </c>
      <c r="T66" s="2">
        <f>12*(J66-J65)/J65-'tassi 1 mese'!$D68</f>
        <v>-3.1150943396226403</v>
      </c>
      <c r="U66" s="16">
        <f>12*(K66-K65)/K65-'tassi 1 mese'!$D68</f>
        <v>-2.2999999999999998</v>
      </c>
    </row>
    <row r="67" spans="1:21" x14ac:dyDescent="0.25">
      <c r="A67" s="9">
        <v>43617</v>
      </c>
      <c r="B67">
        <v>234</v>
      </c>
      <c r="C67">
        <v>306.93990000000002</v>
      </c>
      <c r="D67">
        <v>63.85</v>
      </c>
      <c r="E67">
        <v>10.388199999999999</v>
      </c>
      <c r="F67">
        <v>8.74</v>
      </c>
      <c r="G67">
        <v>92.2</v>
      </c>
      <c r="H67">
        <v>109.4</v>
      </c>
      <c r="I67">
        <v>189.33</v>
      </c>
      <c r="J67">
        <v>2.19</v>
      </c>
      <c r="K67">
        <v>46.5</v>
      </c>
      <c r="L67" s="2">
        <f>12*(B67-B66)/B66-'tassi 1 mese'!$D69</f>
        <v>-4.3972347015411728</v>
      </c>
      <c r="M67" s="2">
        <f>12*(C67-C66)/C66-'tassi 1 mese'!$D69</f>
        <v>-1.3487514193247987</v>
      </c>
      <c r="N67" s="2">
        <f>12*(D67-D66)/D66-'tassi 1 mese'!$D69</f>
        <v>-2.5927436281859073</v>
      </c>
      <c r="O67" s="2">
        <f>12*(E67-E66)/E66-'tassi 1 mese'!$D69</f>
        <v>-5.0334093877906483</v>
      </c>
      <c r="P67" s="2">
        <f>12*(F67-F66)/F66-'tassi 1 mese'!$D69</f>
        <v>-1.4286127864897451</v>
      </c>
      <c r="Q67" s="2">
        <f>12*(G67-G66)/G66-'tassi 1 mese'!$D69</f>
        <v>-1.6485393258426964</v>
      </c>
      <c r="R67" s="2">
        <f>12*(H67-H66)/H66-'tassi 1 mese'!$D69</f>
        <v>-3.0155246523388115</v>
      </c>
      <c r="S67" s="2">
        <f>12*(I67-I66)/I66-'tassi 1 mese'!$D69</f>
        <v>-2.3953672083933339</v>
      </c>
      <c r="T67" s="2">
        <f>12*(J67-J66)/J66-'tassi 1 mese'!$D69</f>
        <v>-3.4403238866396775</v>
      </c>
      <c r="U67" s="16">
        <f>12*(K67-K66)/K66-'tassi 1 mese'!$D69</f>
        <v>-2.08</v>
      </c>
    </row>
    <row r="68" spans="1:21" x14ac:dyDescent="0.25">
      <c r="A68" s="9">
        <v>43647</v>
      </c>
      <c r="B68">
        <v>218</v>
      </c>
      <c r="C68">
        <v>318.54000000000002</v>
      </c>
      <c r="D68">
        <v>69.569999999999993</v>
      </c>
      <c r="E68">
        <v>12.7454</v>
      </c>
      <c r="F68">
        <v>9.42</v>
      </c>
      <c r="G68">
        <v>100</v>
      </c>
      <c r="H68">
        <v>117.78</v>
      </c>
      <c r="I68">
        <v>211.29</v>
      </c>
      <c r="J68">
        <v>2.4500000000000002</v>
      </c>
      <c r="K68">
        <v>46.5</v>
      </c>
      <c r="L68" s="2">
        <f>12*(B68-B67)/B67-'tassi 1 mese'!$D70</f>
        <v>-2.8605128205128203</v>
      </c>
      <c r="M68" s="2">
        <f>12*(C68-C67)/C67-'tassi 1 mese'!$D70</f>
        <v>-1.5864871136010668</v>
      </c>
      <c r="N68" s="2">
        <f>12*(D68-D67)/D67-'tassi 1 mese'!$D70</f>
        <v>-0.96498042286609409</v>
      </c>
      <c r="O68" s="2">
        <f>12*(E68-E67)/E67-'tassi 1 mese'!$D70</f>
        <v>0.68293563851292882</v>
      </c>
      <c r="P68" s="2">
        <f>12*(F68-F67)/F67-'tassi 1 mese'!$D70</f>
        <v>-1.1063615560640736</v>
      </c>
      <c r="Q68" s="2">
        <f>12*(G68-G67)/G67-'tassi 1 mese'!$D70</f>
        <v>-1.0248156182212587</v>
      </c>
      <c r="R68" s="2">
        <f>12*(H68-H67)/H67-'tassi 1 mese'!$D70</f>
        <v>-1.1208043875685565</v>
      </c>
      <c r="S68" s="2">
        <f>12*(I68-I67)/I67-'tassi 1 mese'!$D70</f>
        <v>-0.64814450958643777</v>
      </c>
      <c r="T68" s="2">
        <f>12*(J68-J67)/J67-'tassi 1 mese'!$D70</f>
        <v>-0.61534246575342344</v>
      </c>
      <c r="U68" s="16">
        <f>12*(K68-K67)/K67-'tassi 1 mese'!$D70</f>
        <v>-2.04</v>
      </c>
    </row>
    <row r="69" spans="1:21" x14ac:dyDescent="0.25">
      <c r="A69" s="9">
        <v>43678</v>
      </c>
      <c r="B69">
        <v>204</v>
      </c>
      <c r="C69">
        <v>345.02</v>
      </c>
      <c r="D69">
        <v>83.46</v>
      </c>
      <c r="E69">
        <v>12.445</v>
      </c>
      <c r="F69">
        <v>9.33</v>
      </c>
      <c r="G69">
        <v>90.8</v>
      </c>
      <c r="H69">
        <v>110.79</v>
      </c>
      <c r="I69">
        <v>212.8</v>
      </c>
      <c r="J69">
        <v>2.42</v>
      </c>
      <c r="K69">
        <v>46.5</v>
      </c>
      <c r="L69" s="2">
        <f>12*(B69-B68)/B68-'tassi 1 mese'!$D71</f>
        <v>-2.7206422018348624</v>
      </c>
      <c r="M69" s="2">
        <f>12*(C69-C68)/C68-'tassi 1 mese'!$D71</f>
        <v>-0.95244867206630401</v>
      </c>
      <c r="N69" s="2">
        <f>12*(D69-D68)/D68-'tassi 1 mese'!$D71</f>
        <v>0.44586028460543381</v>
      </c>
      <c r="O69" s="2">
        <f>12*(E69-E68)/E68-'tassi 1 mese'!$D71</f>
        <v>-2.2328314529163462</v>
      </c>
      <c r="P69" s="2">
        <f>12*(F69-F68)/F68-'tassi 1 mese'!$D71</f>
        <v>-2.0646496815286621</v>
      </c>
      <c r="Q69" s="2">
        <f>12*(G69-G68)/G68-'tassi 1 mese'!$D71</f>
        <v>-3.0540000000000003</v>
      </c>
      <c r="R69" s="2">
        <f>12*(H69-H68)/H68-'tassi 1 mese'!$D71</f>
        <v>-2.6621752419765659</v>
      </c>
      <c r="S69" s="2">
        <f>12*(I69-I68)/I68-'tassi 1 mese'!$D71</f>
        <v>-1.8642410904444118</v>
      </c>
      <c r="T69" s="2">
        <f>12*(J69-J68)/J68-'tassi 1 mese'!$D71</f>
        <v>-2.0969387755102051</v>
      </c>
      <c r="U69" s="16">
        <f>12*(K69-K68)/K68-'tassi 1 mese'!$D71</f>
        <v>-1.95</v>
      </c>
    </row>
    <row r="70" spans="1:21" x14ac:dyDescent="0.25">
      <c r="A70" s="9">
        <v>43709</v>
      </c>
      <c r="B70">
        <v>194</v>
      </c>
      <c r="C70">
        <v>367.87009999999998</v>
      </c>
      <c r="D70">
        <v>82.63</v>
      </c>
      <c r="E70">
        <v>13.433</v>
      </c>
      <c r="F70">
        <v>7.35</v>
      </c>
      <c r="G70">
        <v>83.8</v>
      </c>
      <c r="H70">
        <v>107.7</v>
      </c>
      <c r="I70">
        <v>203.85</v>
      </c>
      <c r="J70">
        <v>2.44</v>
      </c>
      <c r="K70">
        <v>46.5</v>
      </c>
      <c r="L70" s="2">
        <f>12*(B70-B69)/B69-'tassi 1 mese'!$D72</f>
        <v>-2.428235294117647</v>
      </c>
      <c r="M70" s="2">
        <f>12*(C70-C69)/C69-'tassi 1 mese'!$D72</f>
        <v>-1.0452599849284101</v>
      </c>
      <c r="N70" s="2">
        <f>12*(D70-D69)/D69-'tassi 1 mese'!$D72</f>
        <v>-1.9593386053199136</v>
      </c>
      <c r="O70" s="2">
        <f>12*(E70-E69)/E69-'tassi 1 mese'!$D72</f>
        <v>-0.88732824427480972</v>
      </c>
      <c r="P70" s="2">
        <f>12*(F70-F69)/F69-'tassi 1 mese'!$D72</f>
        <v>-4.3866237942122188</v>
      </c>
      <c r="Q70" s="2">
        <f>12*(G70-G69)/G69-'tassi 1 mese'!$D72</f>
        <v>-2.7651101321585907</v>
      </c>
      <c r="R70" s="2">
        <f>12*(H70-H69)/H69-'tassi 1 mese'!$D72</f>
        <v>-2.1746872461413491</v>
      </c>
      <c r="S70" s="2">
        <f>12*(I70-I69)/I69-'tassi 1 mese'!$D72</f>
        <v>-2.3446992481203015</v>
      </c>
      <c r="T70" s="2">
        <f>12*(J70-J69)/J69-'tassi 1 mese'!$D72</f>
        <v>-1.7408264462809917</v>
      </c>
      <c r="U70" s="16">
        <f>12*(K70-K69)/K69-'tassi 1 mese'!$D72</f>
        <v>-1.84</v>
      </c>
    </row>
    <row r="71" spans="1:21" x14ac:dyDescent="0.25">
      <c r="A71" s="9">
        <v>43739</v>
      </c>
      <c r="B71">
        <v>157.5</v>
      </c>
      <c r="C71">
        <v>367.79</v>
      </c>
      <c r="D71">
        <v>80.319999999999993</v>
      </c>
      <c r="E71">
        <v>13.5832</v>
      </c>
      <c r="F71">
        <v>7.15</v>
      </c>
      <c r="G71">
        <v>85.8</v>
      </c>
      <c r="H71">
        <v>107.43</v>
      </c>
      <c r="I71">
        <v>183.95</v>
      </c>
      <c r="J71">
        <v>2.33</v>
      </c>
      <c r="K71">
        <v>46.5</v>
      </c>
      <c r="L71" s="2">
        <f>12*(B71-B70)/B70-'tassi 1 mese'!$D73</f>
        <v>-3.7677319587628864</v>
      </c>
      <c r="M71" s="2">
        <f>12*(C71-C70)/C70-'tassi 1 mese'!$D73</f>
        <v>-1.5126128788395674</v>
      </c>
      <c r="N71" s="2">
        <f>12*(D71-D70)/D70-'tassi 1 mese'!$D73</f>
        <v>-1.8454713784339831</v>
      </c>
      <c r="O71" s="2">
        <f>12*(E71-E70)/E70-'tassi 1 mese'!$D73</f>
        <v>-1.3758229732747711</v>
      </c>
      <c r="P71" s="2">
        <f>12*(F71-F70)/F70-'tassi 1 mese'!$D73</f>
        <v>-1.8365306122448968</v>
      </c>
      <c r="Q71" s="2">
        <f>12*(G71-G70)/G70-'tassi 1 mese'!$D73</f>
        <v>-1.2236038186157518</v>
      </c>
      <c r="R71" s="2">
        <f>12*(H71-H70)/H70-'tassi 1 mese'!$D73</f>
        <v>-1.5400835654596097</v>
      </c>
      <c r="S71" s="2">
        <f>12*(I71-I70)/I70-'tassi 1 mese'!$D73</f>
        <v>-2.6814495952906552</v>
      </c>
      <c r="T71" s="2">
        <f>12*(J71-J70)/J70-'tassi 1 mese'!$D73</f>
        <v>-2.0509836065573763</v>
      </c>
      <c r="U71" s="16">
        <f>12*(K71-K70)/K70-'tassi 1 mese'!$D73</f>
        <v>-1.51</v>
      </c>
    </row>
    <row r="72" spans="1:21" x14ac:dyDescent="0.25">
      <c r="A72" s="9">
        <v>43770</v>
      </c>
      <c r="B72">
        <v>135.96</v>
      </c>
      <c r="C72">
        <v>352.12990000000002</v>
      </c>
      <c r="D72">
        <v>75.47</v>
      </c>
      <c r="E72">
        <v>13.525399999999999</v>
      </c>
      <c r="F72">
        <v>6.71</v>
      </c>
      <c r="G72">
        <v>95</v>
      </c>
      <c r="H72">
        <v>112.12</v>
      </c>
      <c r="I72">
        <v>188.07</v>
      </c>
      <c r="J72">
        <v>2.2374000000000001</v>
      </c>
      <c r="K72">
        <v>46.5</v>
      </c>
      <c r="L72" s="2">
        <f>12*(B72-B71)/B71-'tassi 1 mese'!$D74</f>
        <v>-3.2011428571428566</v>
      </c>
      <c r="M72" s="2">
        <f>12*(C72-C71)/C71-'tassi 1 mese'!$D74</f>
        <v>-2.0709470078033663</v>
      </c>
      <c r="N72" s="2">
        <f>12*(D72-D71)/D71-'tassi 1 mese'!$D74</f>
        <v>-2.2846015936254975</v>
      </c>
      <c r="O72" s="2">
        <f>12*(E72-E71)/E71-'tassi 1 mese'!$D74</f>
        <v>-1.6110630779197836</v>
      </c>
      <c r="P72" s="2">
        <f>12*(F72-F71)/F71-'tassi 1 mese'!$D74</f>
        <v>-2.298461538461539</v>
      </c>
      <c r="Q72" s="2">
        <f>12*(G72-G71)/G71-'tassi 1 mese'!$D74</f>
        <v>-0.27328671328671295</v>
      </c>
      <c r="R72" s="2">
        <f>12*(H72-H71)/H71-'tassi 1 mese'!$D74</f>
        <v>-1.0361239877129296</v>
      </c>
      <c r="S72" s="2">
        <f>12*(I72-I71)/I71-'tassi 1 mese'!$D74</f>
        <v>-1.2912313128567543</v>
      </c>
      <c r="T72" s="2">
        <f>12*(J72-J71)/J71-'tassi 1 mese'!$D74</f>
        <v>-2.0369098712446352</v>
      </c>
      <c r="U72" s="16">
        <f>12*(K72-K71)/K71-'tassi 1 mese'!$D74</f>
        <v>-1.56</v>
      </c>
    </row>
    <row r="73" spans="1:21" x14ac:dyDescent="0.25">
      <c r="A73" s="9">
        <v>43800</v>
      </c>
      <c r="B73">
        <v>147.96</v>
      </c>
      <c r="C73">
        <v>341.73</v>
      </c>
      <c r="D73">
        <v>82.86</v>
      </c>
      <c r="E73">
        <v>14.4383</v>
      </c>
      <c r="F73">
        <v>7.4</v>
      </c>
      <c r="G73">
        <v>108</v>
      </c>
      <c r="H73">
        <v>116.39</v>
      </c>
      <c r="I73">
        <v>184.95</v>
      </c>
      <c r="J73">
        <v>2.16</v>
      </c>
      <c r="K73">
        <v>46.5</v>
      </c>
      <c r="L73" s="2">
        <f>12*(B73-B72)/B72-'tassi 1 mese'!$D75</f>
        <v>-0.46086496028243618</v>
      </c>
      <c r="M73" s="2">
        <f>12*(C73-C72)/C72-'tassi 1 mese'!$D75</f>
        <v>-1.8744112556190202</v>
      </c>
      <c r="N73" s="2">
        <f>12*(D73-D72)/D72-'tassi 1 mese'!$D75</f>
        <v>-0.34496356168013764</v>
      </c>
      <c r="O73" s="2">
        <f>12*(E73-E72)/E72-'tassi 1 mese'!$D75</f>
        <v>-0.71005722566430518</v>
      </c>
      <c r="P73" s="2">
        <f>12*(F73-F72)/F72-'tassi 1 mese'!$D75</f>
        <v>-0.28602086438151941</v>
      </c>
      <c r="Q73" s="2">
        <f>12*(G73-G72)/G72-'tassi 1 mese'!$D75</f>
        <v>0.12210526315789472</v>
      </c>
      <c r="R73" s="2">
        <f>12*(H73-H72)/H72-'tassi 1 mese'!$D75</f>
        <v>-1.0629896539422052</v>
      </c>
      <c r="S73" s="2">
        <f>12*(I73-I72)/I72-'tassi 1 mese'!$D75</f>
        <v>-1.7190748125697881</v>
      </c>
      <c r="T73" s="2">
        <f>12*(J73-J72)/J72-'tassi 1 mese'!$D75</f>
        <v>-1.9351246983105386</v>
      </c>
      <c r="U73" s="16">
        <f>12*(K73-K72)/K72-'tassi 1 mese'!$D75</f>
        <v>-1.52</v>
      </c>
    </row>
    <row r="74" spans="1:21" x14ac:dyDescent="0.25">
      <c r="A74" s="9">
        <v>43831</v>
      </c>
      <c r="B74">
        <v>123.98</v>
      </c>
      <c r="C74">
        <v>343.97</v>
      </c>
      <c r="D74">
        <v>79.75</v>
      </c>
      <c r="E74">
        <v>14.7445</v>
      </c>
      <c r="F74">
        <v>6.78</v>
      </c>
      <c r="G74">
        <v>110</v>
      </c>
      <c r="H74">
        <v>110.96</v>
      </c>
      <c r="I74">
        <v>192.68</v>
      </c>
      <c r="J74">
        <v>2.1800000000000002</v>
      </c>
      <c r="K74">
        <v>46.5</v>
      </c>
      <c r="L74" s="2">
        <f>12*(B74-B73)/B73-'tassi 1 mese'!$D76</f>
        <v>-3.4648499594484998</v>
      </c>
      <c r="M74" s="2">
        <f>12*(C74-C73)/C73-'tassi 1 mese'!$D76</f>
        <v>-1.4413414098849966</v>
      </c>
      <c r="N74" s="2">
        <f>12*(D74-D73)/D73-'tassi 1 mese'!$D76</f>
        <v>-1.970398262128892</v>
      </c>
      <c r="O74" s="2">
        <f>12*(E74-E73)/E73-'tassi 1 mese'!$D76</f>
        <v>-1.2655102054951064</v>
      </c>
      <c r="P74" s="2">
        <f>12*(F74-F73)/F73-'tassi 1 mese'!$D76</f>
        <v>-2.5254054054054054</v>
      </c>
      <c r="Q74" s="2">
        <f>12*(G74-G73)/G73-'tassi 1 mese'!$D76</f>
        <v>-1.2977777777777777</v>
      </c>
      <c r="R74" s="2">
        <f>12*(H74-H73)/H73-'tassi 1 mese'!$D76</f>
        <v>-2.0798419108170814</v>
      </c>
      <c r="S74" s="2">
        <f>12*(I74-I73)/I73-'tassi 1 mese'!$D76</f>
        <v>-1.0184590429845892</v>
      </c>
      <c r="T74" s="2">
        <f>12*(J74-J73)/J73-'tassi 1 mese'!$D76</f>
        <v>-1.4088888888888889</v>
      </c>
      <c r="U74" s="16">
        <f>12*(K74-K73)/K73-'tassi 1 mese'!$D76</f>
        <v>-1.52</v>
      </c>
    </row>
    <row r="75" spans="1:21" x14ac:dyDescent="0.25">
      <c r="A75" s="9">
        <v>43862</v>
      </c>
      <c r="B75">
        <v>121.9999</v>
      </c>
      <c r="C75">
        <v>363.75</v>
      </c>
      <c r="D75">
        <v>87.22</v>
      </c>
      <c r="E75">
        <v>17.149999999999999</v>
      </c>
      <c r="F75">
        <v>6.91</v>
      </c>
      <c r="G75">
        <v>119</v>
      </c>
      <c r="H75">
        <v>113.58</v>
      </c>
      <c r="I75">
        <v>210.56</v>
      </c>
      <c r="J75">
        <v>2.41</v>
      </c>
      <c r="K75">
        <v>46.5</v>
      </c>
      <c r="L75" s="2">
        <f>12*(B75-B74)/B74-'tassi 1 mese'!$D77</f>
        <v>-1.4416534924987907</v>
      </c>
      <c r="M75" s="2">
        <f>12*(C75-C74)/C74-'tassi 1 mese'!$D77</f>
        <v>-0.55993982033316958</v>
      </c>
      <c r="N75" s="2">
        <f>12*(D75-D74)/D74-'tassi 1 mese'!$D77</f>
        <v>-0.1259874608150473</v>
      </c>
      <c r="O75" s="2">
        <f>12*(E75-E74)/E74-'tassi 1 mese'!$D77</f>
        <v>0.70774695649224983</v>
      </c>
      <c r="P75" s="2">
        <f>12*(F75-F74)/F74-'tassi 1 mese'!$D77</f>
        <v>-1.0199115044247788</v>
      </c>
      <c r="Q75" s="2">
        <f>12*(G75-G74)/G74-'tassi 1 mese'!$D77</f>
        <v>-0.26818181818181819</v>
      </c>
      <c r="R75" s="2">
        <f>12*(H75-H74)/H74-'tassi 1 mese'!$D77</f>
        <v>-0.96665465032444076</v>
      </c>
      <c r="S75" s="2">
        <f>12*(I75-I74)/I74-'tassi 1 mese'!$D77</f>
        <v>-0.13644384471662896</v>
      </c>
      <c r="T75" s="2">
        <f>12*(J75-J74)/J74-'tassi 1 mese'!$D77</f>
        <v>1.605504587155937E-2</v>
      </c>
      <c r="U75" s="16">
        <f>12*(K75-K74)/K74-'tassi 1 mese'!$D77</f>
        <v>-1.25</v>
      </c>
    </row>
    <row r="76" spans="1:21" x14ac:dyDescent="0.25">
      <c r="A76" s="9">
        <v>43891</v>
      </c>
      <c r="B76">
        <v>112</v>
      </c>
      <c r="C76">
        <v>335.99</v>
      </c>
      <c r="D76">
        <v>68.33</v>
      </c>
      <c r="E76">
        <v>19.93</v>
      </c>
      <c r="F76">
        <v>8.15</v>
      </c>
      <c r="G76">
        <v>97</v>
      </c>
      <c r="H76">
        <v>104.12</v>
      </c>
      <c r="I76">
        <v>196.85</v>
      </c>
      <c r="J76">
        <v>2.25</v>
      </c>
      <c r="K76">
        <v>54.24</v>
      </c>
      <c r="L76" s="2">
        <f>12*(B76-B75)/B75-'tassi 1 mese'!$D78</f>
        <v>-1.0935975275389567</v>
      </c>
      <c r="M76" s="2">
        <f>12*(C76-C75)/C75-'tassi 1 mese'!$D78</f>
        <v>-1.0257938144329894</v>
      </c>
      <c r="N76" s="2">
        <f>12*(D76-D75)/D75-'tassi 1 mese'!$D78</f>
        <v>-2.7089451960559505</v>
      </c>
      <c r="O76" s="2">
        <f>12*(E76-E75)/E75-'tassi 1 mese'!$D78</f>
        <v>1.8351895043731787</v>
      </c>
      <c r="P76" s="2">
        <f>12*(F76-F75)/F75-'tassi 1 mese'!$D78</f>
        <v>2.0434008683068021</v>
      </c>
      <c r="Q76" s="2">
        <f>12*(G76-G75)/G75-'tassi 1 mese'!$D78</f>
        <v>-2.3284873949579832</v>
      </c>
      <c r="R76" s="2">
        <f>12*(H76-H75)/H75-'tassi 1 mese'!$D78</f>
        <v>-1.1094717379820385</v>
      </c>
      <c r="S76" s="2">
        <f>12*(I76-I75)/I75-'tassi 1 mese'!$D78</f>
        <v>-0.89134498480243207</v>
      </c>
      <c r="T76" s="2">
        <f>12*(J76-J75)/J75-'tassi 1 mese'!$D78</f>
        <v>-0.9066804979253118</v>
      </c>
      <c r="U76" s="16">
        <f>12*(K76-K75)/K75-'tassi 1 mese'!$D78</f>
        <v>1.8874193548387102</v>
      </c>
    </row>
    <row r="77" spans="1:21" x14ac:dyDescent="0.25">
      <c r="A77" s="9">
        <v>43922</v>
      </c>
      <c r="B77">
        <v>166.01990000000001</v>
      </c>
      <c r="C77">
        <v>306.99</v>
      </c>
      <c r="D77">
        <v>45.35</v>
      </c>
      <c r="E77">
        <v>18.760000000000002</v>
      </c>
      <c r="F77">
        <v>3.82</v>
      </c>
      <c r="G77">
        <v>66</v>
      </c>
      <c r="H77">
        <v>98.28</v>
      </c>
      <c r="I77">
        <v>175.46</v>
      </c>
      <c r="J77">
        <v>2.25</v>
      </c>
      <c r="K77">
        <v>33.67</v>
      </c>
      <c r="L77" s="2">
        <f>12*(B77-B76)/B76-'tassi 1 mese'!$D79</f>
        <v>5.6978464285714292</v>
      </c>
      <c r="M77" s="2">
        <f>12*(C77-C76)/C76-'tassi 1 mese'!$D79</f>
        <v>-1.1257451114616508</v>
      </c>
      <c r="N77" s="2">
        <f>12*(D77-D76)/D76-'tassi 1 mese'!$D79</f>
        <v>-4.1257090589784866</v>
      </c>
      <c r="O77" s="2">
        <f>12*(E77-E76)/E76-'tassi 1 mese'!$D79</f>
        <v>-0.79446562970396273</v>
      </c>
      <c r="P77" s="2">
        <f>12*(F77-F76)/F76-'tassi 1 mese'!$D79</f>
        <v>-6.465460122699386</v>
      </c>
      <c r="Q77" s="2">
        <f>12*(G77-G76)/G76-'tassi 1 mese'!$D79</f>
        <v>-3.9250515463917526</v>
      </c>
      <c r="R77" s="2">
        <f>12*(H77-H76)/H76-'tassi 1 mese'!$D79</f>
        <v>-0.76306953515174836</v>
      </c>
      <c r="S77" s="2">
        <f>12*(I77-I76)/I76-'tassi 1 mese'!$D79</f>
        <v>-1.393937007874015</v>
      </c>
      <c r="T77" s="2">
        <f>12*(J77-J76)/J76-'tassi 1 mese'!$D79</f>
        <v>-0.09</v>
      </c>
      <c r="U77" s="16">
        <f>12*(K77-K76)/K76-'tassi 1 mese'!$D79</f>
        <v>-4.6408849557522123</v>
      </c>
    </row>
    <row r="78" spans="1:21" x14ac:dyDescent="0.25">
      <c r="A78" s="9">
        <v>43952</v>
      </c>
      <c r="B78">
        <v>239.9999</v>
      </c>
      <c r="C78">
        <v>328.06009999999998</v>
      </c>
      <c r="D78">
        <v>68.900000000000006</v>
      </c>
      <c r="E78">
        <v>20.86</v>
      </c>
      <c r="F78">
        <v>5.23</v>
      </c>
      <c r="G78">
        <v>66</v>
      </c>
      <c r="H78">
        <v>101.99</v>
      </c>
      <c r="I78">
        <v>205.02</v>
      </c>
      <c r="J78">
        <v>2.25</v>
      </c>
      <c r="K78">
        <v>46.51</v>
      </c>
      <c r="L78" s="2">
        <f>12*(B78-B77)/B77-'tassi 1 mese'!$D80</f>
        <v>5.2073107741903222</v>
      </c>
      <c r="M78" s="2">
        <f>12*(C78-C77)/C77-'tassi 1 mese'!$D80</f>
        <v>0.68361379849506365</v>
      </c>
      <c r="N78" s="2">
        <f>12*(D78-D77)/D77-'tassi 1 mese'!$D80</f>
        <v>6.0915325248070564</v>
      </c>
      <c r="O78" s="2">
        <f>12*(E78-E77)/E77-'tassi 1 mese'!$D80</f>
        <v>1.2032835820895507</v>
      </c>
      <c r="P78" s="2">
        <f>12*(F78-F77)/F77-'tassi 1 mese'!$D80</f>
        <v>4.2893193717277516</v>
      </c>
      <c r="Q78" s="2">
        <f>12*(G78-G77)/G77-'tassi 1 mese'!$D80</f>
        <v>-0.14000000000000001</v>
      </c>
      <c r="R78" s="2">
        <f>12*(H78-H77)/H77-'tassi 1 mese'!$D80</f>
        <v>0.3129914529914522</v>
      </c>
      <c r="S78" s="2">
        <f>12*(I78-I77)/I77-'tassi 1 mese'!$D80</f>
        <v>1.8816573578023479</v>
      </c>
      <c r="T78" s="2">
        <f>12*(J78-J77)/J77-'tassi 1 mese'!$D80</f>
        <v>-0.14000000000000001</v>
      </c>
      <c r="U78" s="16">
        <f>12*(K78-K77)/K77-'tassi 1 mese'!$D80</f>
        <v>4.4361805761805746</v>
      </c>
    </row>
    <row r="79" spans="1:21" x14ac:dyDescent="0.25">
      <c r="A79" s="9">
        <v>43983</v>
      </c>
      <c r="B79">
        <v>236</v>
      </c>
      <c r="C79">
        <v>330.66989999999998</v>
      </c>
      <c r="D79">
        <v>94.31</v>
      </c>
      <c r="E79">
        <v>21.71</v>
      </c>
      <c r="F79">
        <v>7.04</v>
      </c>
      <c r="G79">
        <v>92</v>
      </c>
      <c r="H79">
        <v>108.39</v>
      </c>
      <c r="I79">
        <v>219.03</v>
      </c>
      <c r="J79">
        <v>2.19</v>
      </c>
      <c r="K79">
        <v>52.37</v>
      </c>
      <c r="L79" s="2">
        <f>12*(B79-B78)/B78-'tassi 1 mese'!$D81</f>
        <v>-0.35999508333128455</v>
      </c>
      <c r="M79" s="2">
        <f>12*(C79-C78)/C78-'tassi 1 mese'!$D81</f>
        <v>-6.4537004042856519E-2</v>
      </c>
      <c r="N79" s="2">
        <f>12*(D79-D78)/D78-'tassi 1 mese'!$D81</f>
        <v>4.2655442670537003</v>
      </c>
      <c r="O79" s="2">
        <f>12*(E79-E78)/E78-'tassi 1 mese'!$D81</f>
        <v>0.32897411313518776</v>
      </c>
      <c r="P79" s="2">
        <f>12*(F79-F78)/F78-'tassi 1 mese'!$D81</f>
        <v>3.9929636711281056</v>
      </c>
      <c r="Q79" s="2">
        <f>12*(G79-G78)/G78-'tassi 1 mese'!$D81</f>
        <v>4.5672727272727274</v>
      </c>
      <c r="R79" s="2">
        <f>12*(H79-H78)/H78-'tassi 1 mese'!$D81</f>
        <v>0.59301500147073305</v>
      </c>
      <c r="S79" s="2">
        <f>12*(I79-I78)/I78-'tassi 1 mese'!$D81</f>
        <v>0.66001755926251038</v>
      </c>
      <c r="T79" s="2">
        <f>12*(J79-J78)/J78-'tassi 1 mese'!$D81</f>
        <v>-0.48000000000000032</v>
      </c>
      <c r="U79" s="16">
        <f>12*(K79-K78)/K78-'tassi 1 mese'!$D81</f>
        <v>1.3519329176521178</v>
      </c>
    </row>
    <row r="80" spans="1:21" x14ac:dyDescent="0.25">
      <c r="A80" s="9">
        <v>44013</v>
      </c>
      <c r="B80">
        <v>339.99979999999999</v>
      </c>
      <c r="C80">
        <v>308.13990000000001</v>
      </c>
      <c r="D80">
        <v>92.76</v>
      </c>
      <c r="E80">
        <v>19.77</v>
      </c>
      <c r="F80">
        <v>7.02</v>
      </c>
      <c r="G80">
        <v>124.2</v>
      </c>
      <c r="H80">
        <v>107.92</v>
      </c>
      <c r="I80">
        <v>210.48</v>
      </c>
      <c r="J80">
        <v>2.15</v>
      </c>
      <c r="K80">
        <v>52.37</v>
      </c>
      <c r="L80" s="2">
        <f>12*(B80-B79)/B79-'tassi 1 mese'!$D82</f>
        <v>5.198125423728813</v>
      </c>
      <c r="M80" s="2">
        <f>12*(C80-C79)/C79-'tassi 1 mese'!$D82</f>
        <v>-0.90761297293766285</v>
      </c>
      <c r="N80" s="2">
        <f>12*(D80-D79)/D79-'tassi 1 mese'!$D82</f>
        <v>-0.28722192768529281</v>
      </c>
      <c r="O80" s="2">
        <f>12*(E80-E79)/E79-'tassi 1 mese'!$D82</f>
        <v>-1.1623169046522348</v>
      </c>
      <c r="P80" s="2">
        <f>12*(F80-F79)/F79-'tassi 1 mese'!$D82</f>
        <v>-0.12409090909090988</v>
      </c>
      <c r="Q80" s="2">
        <f>12*(G80-G79)/G79-'tassi 1 mese'!$D82</f>
        <v>4.1100000000000003</v>
      </c>
      <c r="R80" s="2">
        <f>12*(H80-H79)/H79-'tassi 1 mese'!$D82</f>
        <v>-0.14203432050927195</v>
      </c>
      <c r="S80" s="2">
        <f>12*(I80-I79)/I79-'tassi 1 mese'!$D82</f>
        <v>-0.5584289823311881</v>
      </c>
      <c r="T80" s="2">
        <f>12*(J80-J79)/J79-'tassi 1 mese'!$D82</f>
        <v>-0.309178082191781</v>
      </c>
      <c r="U80" s="16">
        <f>12*(K80-K79)/K79-'tassi 1 mese'!$D82</f>
        <v>-0.09</v>
      </c>
    </row>
    <row r="81" spans="1:21" x14ac:dyDescent="0.25">
      <c r="A81" s="9">
        <v>44044</v>
      </c>
      <c r="B81">
        <v>275.99979999999999</v>
      </c>
      <c r="C81">
        <v>323.59010000000001</v>
      </c>
      <c r="D81">
        <v>97.22</v>
      </c>
      <c r="E81">
        <v>21.96</v>
      </c>
      <c r="F81">
        <v>7.53</v>
      </c>
      <c r="G81">
        <v>201.3999</v>
      </c>
      <c r="H81">
        <v>122.41</v>
      </c>
      <c r="I81">
        <v>212.05</v>
      </c>
      <c r="J81">
        <v>2.17</v>
      </c>
      <c r="K81">
        <v>52.37</v>
      </c>
      <c r="L81" s="2">
        <f>12*(B81-B80)/B80-'tassi 1 mese'!$D83</f>
        <v>-2.3688248581322693</v>
      </c>
      <c r="M81" s="2">
        <f>12*(C81-C80)/C80-'tassi 1 mese'!$D83</f>
        <v>0.49168254744030204</v>
      </c>
      <c r="N81" s="2">
        <f>12*(D81-D80)/D80-'tassi 1 mese'!$D83</f>
        <v>0.46697283311772231</v>
      </c>
      <c r="O81" s="2">
        <f>12*(E81-E80)/E80-'tassi 1 mese'!$D83</f>
        <v>1.2192867981790598</v>
      </c>
      <c r="P81" s="2">
        <f>12*(F81-F80)/F80-'tassi 1 mese'!$D83</f>
        <v>0.76179487179487304</v>
      </c>
      <c r="Q81" s="2">
        <f>12*(G81-G80)/G80-'tassi 1 mese'!$D83</f>
        <v>7.3489275362318827</v>
      </c>
      <c r="R81" s="2">
        <f>12*(H81-H80)/H80-'tassi 1 mese'!$D83</f>
        <v>1.5011934766493693</v>
      </c>
      <c r="S81" s="2">
        <f>12*(I81-I80)/I80-'tassi 1 mese'!$D83</f>
        <v>-2.0490307867729665E-2</v>
      </c>
      <c r="T81" s="2">
        <f>12*(J81-J80)/J80-'tassi 1 mese'!$D83</f>
        <v>1.627906976744295E-3</v>
      </c>
      <c r="U81" s="16">
        <f>12*(K81-K80)/K80-'tassi 1 mese'!$D83</f>
        <v>-0.11</v>
      </c>
    </row>
    <row r="82" spans="1:21" x14ac:dyDescent="0.25">
      <c r="A82" s="9">
        <v>44075</v>
      </c>
      <c r="B82">
        <v>231.9999</v>
      </c>
      <c r="C82">
        <v>340.37990000000002</v>
      </c>
      <c r="D82">
        <v>98.71</v>
      </c>
      <c r="E82">
        <v>23.82</v>
      </c>
      <c r="F82">
        <v>6.16</v>
      </c>
      <c r="G82">
        <v>220</v>
      </c>
      <c r="H82">
        <v>126.64</v>
      </c>
      <c r="I82">
        <v>215.78</v>
      </c>
      <c r="J82">
        <v>2.21</v>
      </c>
      <c r="K82">
        <v>62.51</v>
      </c>
      <c r="L82" s="2">
        <f>12*(B82-B81)/B81-'tassi 1 mese'!$D84</f>
        <v>-2.0130405166960266</v>
      </c>
      <c r="M82" s="2">
        <f>12*(C82-C81)/C81-'tassi 1 mese'!$D84</f>
        <v>0.52263215098360605</v>
      </c>
      <c r="N82" s="2">
        <f>12*(D82-D81)/D81-'tassi 1 mese'!$D84</f>
        <v>8.3912775149145635E-2</v>
      </c>
      <c r="O82" s="2">
        <f>12*(E82-E81)/E81-'tassi 1 mese'!$D84</f>
        <v>0.91639344262295042</v>
      </c>
      <c r="P82" s="2">
        <f>12*(F82-F81)/F81-'tassi 1 mese'!$D84</f>
        <v>-2.2832669322709167</v>
      </c>
      <c r="Q82" s="2">
        <f>12*(G82-G81)/G81-'tassi 1 mese'!$D84</f>
        <v>1.0082488124373445</v>
      </c>
      <c r="R82" s="2">
        <f>12*(H82-H81)/H81-'tassi 1 mese'!$D84</f>
        <v>0.31467200392124861</v>
      </c>
      <c r="S82" s="2">
        <f>12*(I82-I81)/I81-'tassi 1 mese'!$D84</f>
        <v>0.11108229191228425</v>
      </c>
      <c r="T82" s="2">
        <f>12*(J82-J81)/J81-'tassi 1 mese'!$D84</f>
        <v>0.12119815668202785</v>
      </c>
      <c r="U82" s="16">
        <f>12*(K82-K81)/K81-'tassi 1 mese'!$D84</f>
        <v>2.2234676341416844</v>
      </c>
    </row>
    <row r="83" spans="1:21" x14ac:dyDescent="0.25">
      <c r="A83" s="9">
        <v>44105</v>
      </c>
      <c r="B83">
        <v>154</v>
      </c>
      <c r="C83">
        <v>311.81009999999998</v>
      </c>
      <c r="D83">
        <v>97.43</v>
      </c>
      <c r="E83">
        <v>20.704999999999998</v>
      </c>
      <c r="F83">
        <v>5.96</v>
      </c>
      <c r="G83">
        <v>259.3999</v>
      </c>
      <c r="H83">
        <v>118.85</v>
      </c>
      <c r="I83">
        <v>207.22</v>
      </c>
      <c r="J83">
        <v>2.81</v>
      </c>
      <c r="K83">
        <v>60.011499999999998</v>
      </c>
      <c r="L83" s="2">
        <f>12*(B83-B82)/B82-'tassi 1 mese'!$D85</f>
        <v>-4.1244793252066057</v>
      </c>
      <c r="M83" s="2">
        <f>12*(C83-C82)/C82-'tassi 1 mese'!$D85</f>
        <v>-1.0972204616077521</v>
      </c>
      <c r="N83" s="2">
        <f>12*(D83-D82)/D82-'tassi 1 mese'!$D85</f>
        <v>-0.24560733461655196</v>
      </c>
      <c r="O83" s="2">
        <f>12*(E83-E82)/E82-'tassi 1 mese'!$D85</f>
        <v>-1.6592695214105804</v>
      </c>
      <c r="P83" s="2">
        <f>12*(F83-F82)/F82-'tassi 1 mese'!$D85</f>
        <v>-0.47961038961038993</v>
      </c>
      <c r="Q83" s="2">
        <f>12*(G83-G82)/G82-'tassi 1 mese'!$D85</f>
        <v>2.0590854545454547</v>
      </c>
      <c r="R83" s="2">
        <f>12*(H83-H82)/H82-'tassi 1 mese'!$D85</f>
        <v>-0.82815540113708208</v>
      </c>
      <c r="S83" s="2">
        <f>12*(I83-I82)/I82-'tassi 1 mese'!$D85</f>
        <v>-0.56604041153026241</v>
      </c>
      <c r="T83" s="2">
        <f>12*(J83-J82)/J82-'tassi 1 mese'!$D85</f>
        <v>3.1679185520361997</v>
      </c>
      <c r="U83" s="16">
        <f>12*(K83-K82)/K82-'tassi 1 mese'!$D85</f>
        <v>-0.56963525835866258</v>
      </c>
    </row>
    <row r="84" spans="1:21" x14ac:dyDescent="0.25">
      <c r="A84" s="9">
        <v>44136</v>
      </c>
      <c r="B84">
        <v>177.6</v>
      </c>
      <c r="C84">
        <v>296.62990000000002</v>
      </c>
      <c r="D84">
        <v>85.42</v>
      </c>
      <c r="E84">
        <v>20.94</v>
      </c>
      <c r="F84">
        <v>6.23</v>
      </c>
      <c r="G84">
        <v>196.59989999999999</v>
      </c>
      <c r="H84">
        <v>115.51</v>
      </c>
      <c r="I84">
        <v>189.2</v>
      </c>
      <c r="J84">
        <v>2.83</v>
      </c>
      <c r="K84">
        <v>60.011499999999998</v>
      </c>
      <c r="L84" s="2">
        <f>12*(B84-B83)/B83-'tassi 1 mese'!$D86</f>
        <v>1.7589610389610384</v>
      </c>
      <c r="M84" s="2">
        <f>12*(C84-C83)/C83-'tassi 1 mese'!$D86</f>
        <v>-0.66420942746883271</v>
      </c>
      <c r="N84" s="2">
        <f>12*(D84-D83)/D83-'tassi 1 mese'!$D86</f>
        <v>-1.5592158472749673</v>
      </c>
      <c r="O84" s="2">
        <f>12*(E84-E83)/E83-'tassi 1 mese'!$D86</f>
        <v>5.6198985752235489E-2</v>
      </c>
      <c r="P84" s="2">
        <f>12*(F84-F83)/F83-'tassi 1 mese'!$D86</f>
        <v>0.46362416107382637</v>
      </c>
      <c r="Q84" s="2">
        <f>12*(G84-G83)/G83-'tassi 1 mese'!$D86</f>
        <v>-2.9851668871113679</v>
      </c>
      <c r="R84" s="2">
        <f>12*(H84-H83)/H83-'tassi 1 mese'!$D86</f>
        <v>-0.41723180479596023</v>
      </c>
      <c r="S84" s="2">
        <f>12*(I84-I83)/I83-'tassi 1 mese'!$D86</f>
        <v>-1.1235286169288685</v>
      </c>
      <c r="T84" s="2">
        <f>12*(J84-J83)/J83-'tassi 1 mese'!$D86</f>
        <v>5.4092526690392162E-3</v>
      </c>
      <c r="U84" s="16">
        <f>12*(K84-K83)/K83-'tassi 1 mese'!$D86</f>
        <v>-0.08</v>
      </c>
    </row>
    <row r="85" spans="1:21" x14ac:dyDescent="0.25">
      <c r="A85" s="9">
        <v>44166</v>
      </c>
      <c r="B85">
        <v>223.9999</v>
      </c>
      <c r="C85">
        <v>301.1001</v>
      </c>
      <c r="D85">
        <v>103.65</v>
      </c>
      <c r="E85">
        <v>18.23</v>
      </c>
      <c r="F85">
        <v>7.21</v>
      </c>
      <c r="G85">
        <v>280</v>
      </c>
      <c r="H85">
        <v>118.97</v>
      </c>
      <c r="I85">
        <v>200.75</v>
      </c>
      <c r="J85">
        <v>2.93</v>
      </c>
      <c r="K85">
        <v>53.921199999999999</v>
      </c>
      <c r="L85" s="2">
        <f>12*(B85-B84)/B84-'tassi 1 mese'!$D87</f>
        <v>3.0451283783783789</v>
      </c>
      <c r="M85" s="2">
        <f>12*(C85-C84)/C84-'tassi 1 mese'!$D87</f>
        <v>9.0839490557087205E-2</v>
      </c>
      <c r="N85" s="2">
        <f>12*(D85-D84)/D84-'tassi 1 mese'!$D87</f>
        <v>2.4709927417466644</v>
      </c>
      <c r="O85" s="2">
        <f>12*(E85-E84)/E84-'tassi 1 mese'!$D87</f>
        <v>-1.6430085959885392</v>
      </c>
      <c r="P85" s="2">
        <f>12*(F85-F84)/F84-'tassi 1 mese'!$D87</f>
        <v>1.7976404494382012</v>
      </c>
      <c r="Q85" s="2">
        <f>12*(G85-G84)/G84-'tassi 1 mese'!$D87</f>
        <v>5.0005478588748016</v>
      </c>
      <c r="R85" s="2">
        <f>12*(H85-H84)/H84-'tassi 1 mese'!$D87</f>
        <v>0.26944939832049108</v>
      </c>
      <c r="S85" s="2">
        <f>12*(I85-I84)/I84-'tassi 1 mese'!$D87</f>
        <v>0.6425581395348845</v>
      </c>
      <c r="T85" s="2">
        <f>12*(J85-J84)/J84-'tassi 1 mese'!$D87</f>
        <v>0.33402826855123713</v>
      </c>
      <c r="U85" s="16">
        <f>12*(K85-K84)/K84-'tassi 1 mese'!$D87</f>
        <v>-1.3078265832382125</v>
      </c>
    </row>
    <row r="86" spans="1:21" x14ac:dyDescent="0.25">
      <c r="A86" s="9">
        <v>44197</v>
      </c>
      <c r="B86">
        <v>205.9999</v>
      </c>
      <c r="C86">
        <v>304.72000000000003</v>
      </c>
      <c r="D86">
        <v>105.18</v>
      </c>
      <c r="E86">
        <v>20.78</v>
      </c>
      <c r="F86">
        <v>8.6300000000000008</v>
      </c>
      <c r="G86">
        <v>352.3997</v>
      </c>
      <c r="H86">
        <v>132.91</v>
      </c>
      <c r="I86">
        <v>216.4</v>
      </c>
      <c r="J86">
        <v>3.69</v>
      </c>
      <c r="K86">
        <v>53.921199999999999</v>
      </c>
      <c r="L86" s="2">
        <f>12*(B86-B85)/B85-'tassi 1 mese'!$D88</f>
        <v>-1.0242861447706004</v>
      </c>
      <c r="M86" s="2">
        <f>12*(C86-C85)/C85-'tassi 1 mese'!$D88</f>
        <v>8.4266973009973628E-2</v>
      </c>
      <c r="N86" s="2">
        <f>12*(D86-D85)/D85-'tassi 1 mese'!$D88</f>
        <v>0.11713458755426931</v>
      </c>
      <c r="O86" s="2">
        <f>12*(E86-E85)/E85-'tassi 1 mese'!$D88</f>
        <v>1.6185518376302801</v>
      </c>
      <c r="P86" s="2">
        <f>12*(F86-F85)/F85-'tassi 1 mese'!$D88</f>
        <v>2.3033841886269082</v>
      </c>
      <c r="Q86" s="2">
        <f>12*(G86-G85)/G85-'tassi 1 mese'!$D88</f>
        <v>3.0428442857142857</v>
      </c>
      <c r="R86" s="2">
        <f>12*(H86-H85)/H85-'tassi 1 mese'!$D88</f>
        <v>1.3460687568294525</v>
      </c>
      <c r="S86" s="2">
        <f>12*(I86-I85)/I85-'tassi 1 mese'!$D88</f>
        <v>0.8754919053549195</v>
      </c>
      <c r="T86" s="2">
        <f>12*(J86-J85)/J85-'tassi 1 mese'!$D88</f>
        <v>3.0526279863481216</v>
      </c>
      <c r="U86" s="16">
        <f>12*(K86-K85)/K85-'tassi 1 mese'!$D88</f>
        <v>-0.06</v>
      </c>
    </row>
    <row r="87" spans="1:21" x14ac:dyDescent="0.25">
      <c r="A87" s="9">
        <v>44228</v>
      </c>
      <c r="B87">
        <v>242</v>
      </c>
      <c r="C87">
        <v>292.31009999999998</v>
      </c>
      <c r="D87">
        <v>115.37</v>
      </c>
      <c r="E87">
        <v>21.44</v>
      </c>
      <c r="F87">
        <v>8.32</v>
      </c>
      <c r="G87">
        <v>427.99979999999999</v>
      </c>
      <c r="H87">
        <v>132.74</v>
      </c>
      <c r="I87">
        <v>198.71</v>
      </c>
      <c r="J87">
        <v>3.5</v>
      </c>
      <c r="K87">
        <v>54.82</v>
      </c>
      <c r="L87" s="2">
        <f>12*(B87-B86)/B86-'tassi 1 mese'!$D89</f>
        <v>2.0570942218903991</v>
      </c>
      <c r="M87" s="2">
        <f>12*(C87-C86)/C86-'tassi 1 mese'!$D89</f>
        <v>-0.52870700971383755</v>
      </c>
      <c r="N87" s="2">
        <f>12*(D87-D86)/D86-'tassi 1 mese'!$D89</f>
        <v>1.1225784369652021</v>
      </c>
      <c r="O87" s="2">
        <f>12*(E87-E86)/E86-'tassi 1 mese'!$D89</f>
        <v>0.34113570741097216</v>
      </c>
      <c r="P87" s="2">
        <f>12*(F87-F86)/F86-'tassi 1 mese'!$D89</f>
        <v>-0.47105446118192418</v>
      </c>
      <c r="Q87" s="2">
        <f>12*(G87-G86)/G86-'tassi 1 mese'!$D89</f>
        <v>2.5343529293583393</v>
      </c>
      <c r="R87" s="2">
        <f>12*(H87-H86)/H86-'tassi 1 mese'!$D89</f>
        <v>-5.5348732224812652E-2</v>
      </c>
      <c r="S87" s="2">
        <f>12*(I87-I86)/I86-'tassi 1 mese'!$D89</f>
        <v>-1.0209611829944545</v>
      </c>
      <c r="T87" s="2">
        <f>12*(J87-J86)/J86-'tassi 1 mese'!$D89</f>
        <v>-0.65788617886178846</v>
      </c>
      <c r="U87" s="16">
        <f>12*(K87-K86)/K86-'tassi 1 mese'!$D89</f>
        <v>0.16002522199060881</v>
      </c>
    </row>
    <row r="88" spans="1:21" x14ac:dyDescent="0.25">
      <c r="A88" s="9">
        <v>44256</v>
      </c>
      <c r="B88">
        <v>299.99979999999999</v>
      </c>
      <c r="C88">
        <v>293.45999999999998</v>
      </c>
      <c r="D88">
        <v>129.87</v>
      </c>
      <c r="E88">
        <v>19.66</v>
      </c>
      <c r="F88">
        <v>7.42</v>
      </c>
      <c r="G88">
        <v>452.2</v>
      </c>
      <c r="H88">
        <v>113.03</v>
      </c>
      <c r="I88">
        <v>195.8</v>
      </c>
      <c r="J88">
        <v>3.37</v>
      </c>
      <c r="K88">
        <v>50.98</v>
      </c>
      <c r="L88" s="2">
        <f>12*(B88-B87)/B87-'tassi 1 mese'!$D90</f>
        <v>2.8460231404958676</v>
      </c>
      <c r="M88" s="2">
        <f>12*(C88-C87)/C87-'tassi 1 mese'!$D90</f>
        <v>1.7206032223997837E-2</v>
      </c>
      <c r="N88" s="2">
        <f>12*(D88-D87)/D87-'tassi 1 mese'!$D90</f>
        <v>1.4781910375314207</v>
      </c>
      <c r="O88" s="2">
        <f>12*(E88-E87)/E87-'tassi 1 mese'!$D90</f>
        <v>-1.0262686567164185</v>
      </c>
      <c r="P88" s="2">
        <f>12*(F88-F87)/F87-'tassi 1 mese'!$D90</f>
        <v>-1.3280769230769236</v>
      </c>
      <c r="Q88" s="2">
        <f>12*(G88-G87)/G87-'tassi 1 mese'!$D90</f>
        <v>0.6485105974348585</v>
      </c>
      <c r="R88" s="2">
        <f>12*(H88-H87)/H87-'tassi 1 mese'!$D90</f>
        <v>-1.8118291396715389</v>
      </c>
      <c r="S88" s="2">
        <f>12*(I88-I87)/I87-'tassi 1 mese'!$D90</f>
        <v>-0.20573348095214108</v>
      </c>
      <c r="T88" s="2">
        <f>12*(J88-J87)/J87-'tassi 1 mese'!$D90</f>
        <v>-0.47571428571428531</v>
      </c>
      <c r="U88" s="16">
        <f>12*(K88-K87)/K87-'tassi 1 mese'!$D90</f>
        <v>-0.87056913535206204</v>
      </c>
    </row>
    <row r="89" spans="1:21" x14ac:dyDescent="0.25">
      <c r="A89" s="9">
        <v>44287</v>
      </c>
      <c r="B89">
        <v>336</v>
      </c>
      <c r="C89">
        <v>322.24</v>
      </c>
      <c r="D89">
        <v>120.9</v>
      </c>
      <c r="E89">
        <v>21.42</v>
      </c>
      <c r="F89">
        <v>7.74</v>
      </c>
      <c r="G89">
        <v>504.2</v>
      </c>
      <c r="H89">
        <v>113.6</v>
      </c>
      <c r="I89">
        <v>201.9</v>
      </c>
      <c r="J89">
        <v>3.36</v>
      </c>
      <c r="K89">
        <v>51.395000000000003</v>
      </c>
      <c r="L89" s="2">
        <f>12*(B89-B88)/B88-'tassi 1 mese'!$D91</f>
        <v>1.4300089600059736</v>
      </c>
      <c r="M89" s="2">
        <f>12*(C89-C88)/C88-'tassi 1 mese'!$D91</f>
        <v>1.1668554487834812</v>
      </c>
      <c r="N89" s="2">
        <f>12*(D89-D88)/D88-'tassi 1 mese'!$D91</f>
        <v>-0.8388288288288287</v>
      </c>
      <c r="O89" s="2">
        <f>12*(E89-E88)/E88-'tassi 1 mese'!$D91</f>
        <v>1.064262461851476</v>
      </c>
      <c r="P89" s="2">
        <f>12*(F89-F88)/F88-'tassi 1 mese'!$D91</f>
        <v>0.50752021563342364</v>
      </c>
      <c r="Q89" s="2">
        <f>12*(G89-G88)/G88-'tassi 1 mese'!$D91</f>
        <v>1.3699203892083149</v>
      </c>
      <c r="R89" s="2">
        <f>12*(H89-H88)/H88-'tassi 1 mese'!$D91</f>
        <v>5.0514907546668299E-2</v>
      </c>
      <c r="S89" s="2">
        <f>12*(I89-I88)/I88-'tassi 1 mese'!$D91</f>
        <v>0.36385086823289031</v>
      </c>
      <c r="T89" s="2">
        <f>12*(J89-J88)/J88-'tassi 1 mese'!$D91</f>
        <v>-4.5608308605342068E-2</v>
      </c>
      <c r="U89" s="16">
        <f>12*(K89-K88)/K88-'tassi 1 mese'!$D91</f>
        <v>8.7685366810515405E-2</v>
      </c>
    </row>
    <row r="90" spans="1:21" x14ac:dyDescent="0.25">
      <c r="A90" s="9">
        <v>44317</v>
      </c>
      <c r="B90">
        <v>281.99979999999999</v>
      </c>
      <c r="C90">
        <v>361</v>
      </c>
      <c r="D90">
        <v>136.43</v>
      </c>
      <c r="E90">
        <v>21.62</v>
      </c>
      <c r="F90">
        <v>7.34</v>
      </c>
      <c r="G90">
        <v>296</v>
      </c>
      <c r="H90">
        <v>118.85</v>
      </c>
      <c r="I90">
        <v>221.25</v>
      </c>
      <c r="J90">
        <v>3.28</v>
      </c>
      <c r="K90">
        <v>51.395000000000003</v>
      </c>
      <c r="L90" s="2">
        <f>12*(B90-B89)/B89-'tassi 1 mese'!$D92</f>
        <v>-1.9385785714285717</v>
      </c>
      <c r="M90" s="2">
        <f>12*(C90-C89)/C89-'tassi 1 mese'!$D92</f>
        <v>1.4333962264150939</v>
      </c>
      <c r="N90" s="2">
        <f>12*(D90-D89)/D89-'tassi 1 mese'!$D92</f>
        <v>1.531439205955335</v>
      </c>
      <c r="O90" s="2">
        <f>12*(E90-E89)/E89-'tassi 1 mese'!$D92</f>
        <v>0.10204481792717046</v>
      </c>
      <c r="P90" s="2">
        <f>12*(F90-F89)/F89-'tassi 1 mese'!$D92</f>
        <v>-0.63015503875969048</v>
      </c>
      <c r="Q90" s="2">
        <f>12*(G90-G89)/G89-'tassi 1 mese'!$D92</f>
        <v>-4.965176517255057</v>
      </c>
      <c r="R90" s="2">
        <f>12*(H90-H89)/H89-'tassi 1 mese'!$D92</f>
        <v>0.54457746478873237</v>
      </c>
      <c r="S90" s="2">
        <f>12*(I90-I89)/I89-'tassi 1 mese'!$D92</f>
        <v>1.1400742942050517</v>
      </c>
      <c r="T90" s="2">
        <f>12*(J90-J89)/J89-'tassi 1 mese'!$D92</f>
        <v>-0.29571428571428598</v>
      </c>
      <c r="U90" s="16">
        <f>12*(K90-K89)/K89-'tassi 1 mese'!$D92</f>
        <v>-0.01</v>
      </c>
    </row>
    <row r="91" spans="1:21" x14ac:dyDescent="0.25">
      <c r="A91" s="9">
        <v>44348</v>
      </c>
      <c r="B91">
        <v>259.99979999999999</v>
      </c>
      <c r="C91">
        <v>365.62009999999998</v>
      </c>
      <c r="D91">
        <v>136.34</v>
      </c>
      <c r="E91">
        <v>27.89</v>
      </c>
      <c r="F91">
        <v>6.98</v>
      </c>
      <c r="G91">
        <v>301.2</v>
      </c>
      <c r="H91">
        <v>115.57</v>
      </c>
      <c r="I91">
        <v>217.08</v>
      </c>
      <c r="J91">
        <v>3.32</v>
      </c>
      <c r="K91">
        <v>51.395000000000003</v>
      </c>
      <c r="L91" s="2">
        <f>12*(B91-B90)/B90-'tassi 1 mese'!$D93</f>
        <v>-0.98617087671693393</v>
      </c>
      <c r="M91" s="2">
        <f>12*(C91-C90)/C90-'tassi 1 mese'!$D93</f>
        <v>0.10357673130193838</v>
      </c>
      <c r="N91" s="2">
        <f>12*(D91-D90)/D90-'tassi 1 mese'!$D93</f>
        <v>-5.7916147474895853E-2</v>
      </c>
      <c r="O91" s="2">
        <f>12*(E91-E90)/E90-'tassi 1 mese'!$D93</f>
        <v>3.4301110083256243</v>
      </c>
      <c r="P91" s="2">
        <f>12*(F91-F90)/F90-'tassi 1 mese'!$D93</f>
        <v>-0.63855585831062578</v>
      </c>
      <c r="Q91" s="2">
        <f>12*(G91-G90)/G90-'tassi 1 mese'!$D93</f>
        <v>0.16081081081081033</v>
      </c>
      <c r="R91" s="2">
        <f>12*(H91-H90)/H90-'tassi 1 mese'!$D93</f>
        <v>-0.38117374842238128</v>
      </c>
      <c r="S91" s="2">
        <f>12*(I91-I90)/I90-'tassi 1 mese'!$D93</f>
        <v>-0.27616949152542303</v>
      </c>
      <c r="T91" s="2">
        <f>12*(J91-J90)/J90-'tassi 1 mese'!$D93</f>
        <v>9.6341463414634274E-2</v>
      </c>
      <c r="U91" s="16">
        <f>12*(K91-K90)/K90-'tassi 1 mese'!$D93</f>
        <v>-0.05</v>
      </c>
    </row>
    <row r="92" spans="1:21" x14ac:dyDescent="0.25">
      <c r="A92" s="9">
        <v>44378</v>
      </c>
      <c r="B92">
        <v>270</v>
      </c>
      <c r="C92">
        <v>367.62009999999998</v>
      </c>
      <c r="D92">
        <v>147.01</v>
      </c>
      <c r="E92">
        <v>27.19</v>
      </c>
      <c r="F92">
        <v>7.14</v>
      </c>
      <c r="G92">
        <v>296</v>
      </c>
      <c r="H92">
        <v>116.73</v>
      </c>
      <c r="I92">
        <v>229.19</v>
      </c>
      <c r="J92">
        <v>3.37</v>
      </c>
      <c r="K92">
        <v>51.3</v>
      </c>
      <c r="L92" s="2">
        <f>12*(B92-B91)/B91-'tassi 1 mese'!$D94</f>
        <v>0.4015480473446521</v>
      </c>
      <c r="M92" s="2">
        <f>12*(C92-C91)/C91-'tassi 1 mese'!$D94</f>
        <v>5.6419053547657888E-3</v>
      </c>
      <c r="N92" s="2">
        <f>12*(D92-D91)/D91-'tassi 1 mese'!$D94</f>
        <v>0.87912278128208787</v>
      </c>
      <c r="O92" s="2">
        <f>12*(E92-E91)/E91-'tassi 1 mese'!$D94</f>
        <v>-0.36118321979203982</v>
      </c>
      <c r="P92" s="2">
        <f>12*(F92-F91)/F91-'tassi 1 mese'!$D94</f>
        <v>0.21507163323782102</v>
      </c>
      <c r="Q92" s="2">
        <f>12*(G92-G91)/G91-'tassi 1 mese'!$D94</f>
        <v>-0.26717131474103539</v>
      </c>
      <c r="R92" s="2">
        <f>12*(H92-H91)/H91-'tassi 1 mese'!$D94</f>
        <v>6.0446482651208194E-2</v>
      </c>
      <c r="S92" s="2">
        <f>12*(I92-I91)/I91-'tassi 1 mese'!$D94</f>
        <v>0.60943062465450448</v>
      </c>
      <c r="T92" s="2">
        <f>12*(J92-J91)/J91-'tassi 1 mese'!$D94</f>
        <v>0.12072289156626603</v>
      </c>
      <c r="U92" s="16">
        <f>12*(K92-K91)/K91-'tassi 1 mese'!$D94</f>
        <v>-8.2181146025879392E-2</v>
      </c>
    </row>
    <row r="93" spans="1:21" x14ac:dyDescent="0.25">
      <c r="A93" s="9">
        <v>44409</v>
      </c>
      <c r="B93">
        <v>247.9999</v>
      </c>
      <c r="C93">
        <v>361.84010000000001</v>
      </c>
      <c r="D93">
        <v>160.78</v>
      </c>
      <c r="E93">
        <v>24.6</v>
      </c>
      <c r="F93">
        <v>7.4</v>
      </c>
      <c r="G93">
        <v>89.8</v>
      </c>
      <c r="H93">
        <v>125.91</v>
      </c>
      <c r="I93">
        <v>216.44</v>
      </c>
      <c r="J93">
        <v>3.08</v>
      </c>
      <c r="K93">
        <v>51.3</v>
      </c>
      <c r="L93" s="2">
        <f>12*(B93-B92)/B92-'tassi 1 mese'!$D95</f>
        <v>-1.0177822222222224</v>
      </c>
      <c r="M93" s="2">
        <f>12*(C93-C92)/C92-'tassi 1 mese'!$D95</f>
        <v>-0.22867303501631081</v>
      </c>
      <c r="N93" s="2">
        <f>12*(D93-D92)/D92-'tassi 1 mese'!$D95</f>
        <v>1.0840051697163466</v>
      </c>
      <c r="O93" s="2">
        <f>12*(E93-E92)/E92-'tassi 1 mese'!$D95</f>
        <v>-1.1830673041559396</v>
      </c>
      <c r="P93" s="2">
        <f>12*(F93-F92)/F92-'tassi 1 mese'!$D95</f>
        <v>0.39697478991596757</v>
      </c>
      <c r="Q93" s="2">
        <f>12*(G93-G92)/G92-'tassi 1 mese'!$D95</f>
        <v>-8.3994594594594574</v>
      </c>
      <c r="R93" s="2">
        <f>12*(H93-H92)/H92-'tassi 1 mese'!$D95</f>
        <v>0.90371626831148721</v>
      </c>
      <c r="S93" s="2">
        <f>12*(I93-I92)/I92-'tassi 1 mese'!$D95</f>
        <v>-0.70756839303634544</v>
      </c>
      <c r="T93" s="2">
        <f>12*(J93-J92)/J92-'tassi 1 mese'!$D95</f>
        <v>-1.0726409495548963</v>
      </c>
      <c r="U93" s="16">
        <f>12*(K93-K92)/K92-'tassi 1 mese'!$D95</f>
        <v>-0.04</v>
      </c>
    </row>
    <row r="94" spans="1:21" x14ac:dyDescent="0.25">
      <c r="A94" s="9">
        <v>44440</v>
      </c>
      <c r="B94">
        <v>239.9999</v>
      </c>
      <c r="C94">
        <v>364.98</v>
      </c>
      <c r="D94">
        <v>163.6</v>
      </c>
      <c r="E94">
        <v>26.75</v>
      </c>
      <c r="F94">
        <v>7.72</v>
      </c>
      <c r="G94">
        <v>89.2</v>
      </c>
      <c r="H94">
        <v>125.09</v>
      </c>
      <c r="I94">
        <v>218.51</v>
      </c>
      <c r="J94">
        <v>3.13</v>
      </c>
      <c r="K94">
        <v>51.3</v>
      </c>
      <c r="L94" s="2">
        <f>12*(B94-B93)/B93-'tassi 1 mese'!$D96</f>
        <v>-0.42709693028102025</v>
      </c>
      <c r="M94" s="2">
        <f>12*(C94-C93)/C93-'tassi 1 mese'!$D96</f>
        <v>6.4131078893688492E-2</v>
      </c>
      <c r="N94" s="2">
        <f>12*(D94-D93)/D93-'tassi 1 mese'!$D96</f>
        <v>0.17047393954471898</v>
      </c>
      <c r="O94" s="2">
        <f>12*(E94-E93)/E93-'tassi 1 mese'!$D96</f>
        <v>1.0087804878048772</v>
      </c>
      <c r="P94" s="2">
        <f>12*(F94-F93)/F93-'tassi 1 mese'!$D96</f>
        <v>0.47891891891891797</v>
      </c>
      <c r="Q94" s="2">
        <f>12*(G94-G93)/G93-'tassi 1 mese'!$D96</f>
        <v>-0.12017817371937564</v>
      </c>
      <c r="R94" s="2">
        <f>12*(H94-H93)/H93-'tassi 1 mese'!$D96</f>
        <v>-0.11815106028115255</v>
      </c>
      <c r="S94" s="2">
        <f>12*(I94-I93)/I93-'tassi 1 mese'!$D96</f>
        <v>7.4766216965440391E-2</v>
      </c>
      <c r="T94" s="2">
        <f>12*(J94-J93)/J93-'tassi 1 mese'!$D96</f>
        <v>0.15480519480519411</v>
      </c>
      <c r="U94" s="16">
        <f>12*(K94-K93)/K93-'tassi 1 mese'!$D96</f>
        <v>-0.04</v>
      </c>
    </row>
    <row r="95" spans="1:21" x14ac:dyDescent="0.25">
      <c r="A95" s="9">
        <v>44470</v>
      </c>
      <c r="B95">
        <v>198.79990000000001</v>
      </c>
      <c r="C95">
        <v>360.91989999999998</v>
      </c>
      <c r="D95">
        <v>155.69</v>
      </c>
      <c r="E95">
        <v>25.56</v>
      </c>
      <c r="F95">
        <v>7.21</v>
      </c>
      <c r="G95">
        <v>79.2</v>
      </c>
      <c r="H95">
        <v>113.95</v>
      </c>
      <c r="I95">
        <v>206.68</v>
      </c>
      <c r="J95">
        <v>3.02</v>
      </c>
      <c r="K95">
        <v>57.529000000000003</v>
      </c>
      <c r="L95" s="2">
        <f>12*(B95-B94)/B94-'tassi 1 mese'!$D97</f>
        <v>-2.1100008583336902</v>
      </c>
      <c r="M95" s="2">
        <f>12*(C95-C94)/C94-'tassi 1 mese'!$D97</f>
        <v>-0.18349005424954906</v>
      </c>
      <c r="N95" s="2">
        <f>12*(D95-D94)/D94-'tassi 1 mese'!$D97</f>
        <v>-0.63019559902200473</v>
      </c>
      <c r="O95" s="2">
        <f>12*(E95-E94)/E94-'tassi 1 mese'!$D97</f>
        <v>-0.58383177570093525</v>
      </c>
      <c r="P95" s="2">
        <f>12*(F95-F94)/F94-'tassi 1 mese'!$D97</f>
        <v>-0.84274611398963706</v>
      </c>
      <c r="Q95" s="2">
        <f>12*(G95-G94)/G94-'tassi 1 mese'!$D97</f>
        <v>-1.3952914798206277</v>
      </c>
      <c r="R95" s="2">
        <f>12*(H95-H94)/H94-'tassi 1 mese'!$D97</f>
        <v>-1.1186705571988169</v>
      </c>
      <c r="S95" s="2">
        <f>12*(I95-I94)/I94-'tassi 1 mese'!$D97</f>
        <v>-0.699672783854285</v>
      </c>
      <c r="T95" s="2">
        <f>12*(J95-J94)/J94-'tassi 1 mese'!$D97</f>
        <v>-0.47172523961661295</v>
      </c>
      <c r="U95" s="16">
        <f>12*(K95-K94)/K94-'tassi 1 mese'!$D97</f>
        <v>1.4070760233918145</v>
      </c>
    </row>
    <row r="96" spans="1:21" x14ac:dyDescent="0.25">
      <c r="A96" s="9">
        <v>44501</v>
      </c>
      <c r="B96">
        <v>182</v>
      </c>
      <c r="C96">
        <v>354.8501</v>
      </c>
      <c r="D96">
        <v>182.52</v>
      </c>
      <c r="E96">
        <v>25.35</v>
      </c>
      <c r="F96">
        <v>8.1999999999999993</v>
      </c>
      <c r="G96">
        <v>80.599900000000005</v>
      </c>
      <c r="H96">
        <v>116.35</v>
      </c>
      <c r="I96">
        <v>223.07</v>
      </c>
      <c r="J96">
        <v>2.86</v>
      </c>
      <c r="K96">
        <v>54.58</v>
      </c>
      <c r="L96" s="2">
        <f>12*(B96-B95)/B95-'tassi 1 mese'!$D98</f>
        <v>-1.0640789809250413</v>
      </c>
      <c r="M96" s="2">
        <f>12*(C96-C95)/C95-'tassi 1 mese'!$D98</f>
        <v>-0.25181098354510195</v>
      </c>
      <c r="N96" s="2">
        <f>12*(D96-D95)/D95-'tassi 1 mese'!$D98</f>
        <v>2.0179555527008812</v>
      </c>
      <c r="O96" s="2">
        <f>12*(E96-E95)/E95-'tassi 1 mese'!$D98</f>
        <v>-0.1485915492957734</v>
      </c>
      <c r="P96" s="2">
        <f>12*(F96-F95)/F95-'tassi 1 mese'!$D98</f>
        <v>1.5977115117891805</v>
      </c>
      <c r="Q96" s="2">
        <f>12*(G96-G95)/G95-'tassi 1 mese'!$D98</f>
        <v>0.16210606060606098</v>
      </c>
      <c r="R96" s="2">
        <f>12*(H96-H95)/H95-'tassi 1 mese'!$D98</f>
        <v>0.20274243089074068</v>
      </c>
      <c r="S96" s="2">
        <f>12*(I96-I95)/I95-'tassi 1 mese'!$D98</f>
        <v>0.90161602477259439</v>
      </c>
      <c r="T96" s="2">
        <f>12*(J96-J95)/J95-'tassi 1 mese'!$D98</f>
        <v>-0.68576158940397414</v>
      </c>
      <c r="U96" s="16">
        <f>12*(K96-K95)/K95-'tassi 1 mese'!$D98</f>
        <v>-0.6651332371499602</v>
      </c>
    </row>
    <row r="97" spans="1:21" x14ac:dyDescent="0.25">
      <c r="A97" s="9">
        <v>44531</v>
      </c>
      <c r="B97">
        <v>131.94</v>
      </c>
      <c r="C97">
        <v>345.98</v>
      </c>
      <c r="D97">
        <v>151.19</v>
      </c>
      <c r="E97">
        <v>23.82</v>
      </c>
      <c r="F97">
        <v>8.48</v>
      </c>
      <c r="G97">
        <v>69.2</v>
      </c>
      <c r="H97">
        <v>110.15</v>
      </c>
      <c r="I97">
        <v>238.15</v>
      </c>
      <c r="J97">
        <v>2.81</v>
      </c>
      <c r="K97">
        <v>57.2</v>
      </c>
      <c r="L97" s="2">
        <f>12*(B97-B96)/B96-'tassi 1 mese'!$D99</f>
        <v>-3.3606593406593408</v>
      </c>
      <c r="M97" s="2">
        <f>12*(C97-C96)/C96-'tassi 1 mese'!$D99</f>
        <v>-0.35996102579652578</v>
      </c>
      <c r="N97" s="2">
        <f>12*(D97-D96)/D96-'tassi 1 mese'!$D99</f>
        <v>-2.1198290598290606</v>
      </c>
      <c r="O97" s="2">
        <f>12*(E97-E96)/E96-'tassi 1 mese'!$D99</f>
        <v>-0.78426035502958635</v>
      </c>
      <c r="P97" s="2">
        <f>12*(F97-F96)/F96-'tassi 1 mese'!$D99</f>
        <v>0.34975609756097731</v>
      </c>
      <c r="Q97" s="2">
        <f>12*(G97-G96)/G96-'tassi 1 mese'!$D99</f>
        <v>-1.7572576889053215</v>
      </c>
      <c r="R97" s="2">
        <f>12*(H97-H96)/H96-'tassi 1 mese'!$D99</f>
        <v>-0.69944993553931978</v>
      </c>
      <c r="S97" s="2">
        <f>12*(I97-I96)/I96-'tassi 1 mese'!$D99</f>
        <v>0.75122517595373717</v>
      </c>
      <c r="T97" s="2">
        <f>12*(J97-J96)/J96-'tassi 1 mese'!$D99</f>
        <v>-0.26979020979020907</v>
      </c>
      <c r="U97" s="16">
        <f>12*(K97-K96)/K96-'tassi 1 mese'!$D99</f>
        <v>0.51603517772077789</v>
      </c>
    </row>
    <row r="98" spans="1:21" x14ac:dyDescent="0.25">
      <c r="A98" s="9">
        <v>44562</v>
      </c>
      <c r="B98">
        <v>111.4</v>
      </c>
      <c r="C98">
        <v>385.53</v>
      </c>
      <c r="D98">
        <v>152.63</v>
      </c>
      <c r="E98">
        <v>26.33</v>
      </c>
      <c r="F98">
        <v>8.48</v>
      </c>
      <c r="G98">
        <v>76.2</v>
      </c>
      <c r="H98">
        <v>116.39</v>
      </c>
      <c r="I98">
        <v>252.11</v>
      </c>
      <c r="J98">
        <v>2.895</v>
      </c>
      <c r="K98">
        <v>55.5</v>
      </c>
      <c r="L98" s="2">
        <f>12*(B98-B97)/B97-'tassi 1 mese'!$D100</f>
        <v>-2.1081218735788987</v>
      </c>
      <c r="M98" s="2">
        <f>12*(C98-C97)/C97-'tassi 1 mese'!$D100</f>
        <v>1.1317555928088312</v>
      </c>
      <c r="N98" s="2">
        <f>12*(D98-D97)/D97-'tassi 1 mese'!$D100</f>
        <v>-0.12570672663535964</v>
      </c>
      <c r="O98" s="2">
        <f>12*(E98-E97)/E97-'tassi 1 mese'!$D100</f>
        <v>1.0244836272040292</v>
      </c>
      <c r="P98" s="2">
        <f>12*(F98-F97)/F97-'tassi 1 mese'!$D100</f>
        <v>-0.24</v>
      </c>
      <c r="Q98" s="2">
        <f>12*(G98-G97)/G97-'tassi 1 mese'!$D100</f>
        <v>0.97387283236994215</v>
      </c>
      <c r="R98" s="2">
        <f>12*(H98-H97)/H97-'tassi 1 mese'!$D100</f>
        <v>0.43980027235587782</v>
      </c>
      <c r="S98" s="2">
        <f>12*(I98-I97)/I97-'tassi 1 mese'!$D100</f>
        <v>0.46342221289103547</v>
      </c>
      <c r="T98" s="2">
        <f>12*(J98-J97)/J97-'tassi 1 mese'!$D100</f>
        <v>0.12298932384341621</v>
      </c>
      <c r="U98" s="16">
        <f>12*(K98-K97)/K97-'tassi 1 mese'!$D100</f>
        <v>-0.59664335664335721</v>
      </c>
    </row>
    <row r="99" spans="1:21" x14ac:dyDescent="0.25">
      <c r="A99" s="9">
        <v>44593</v>
      </c>
      <c r="B99">
        <v>110</v>
      </c>
      <c r="C99">
        <v>370.58010000000002</v>
      </c>
      <c r="D99">
        <v>134.16999999999999</v>
      </c>
      <c r="E99">
        <v>26</v>
      </c>
      <c r="F99">
        <v>8.48</v>
      </c>
      <c r="G99">
        <v>71.8</v>
      </c>
      <c r="H99">
        <v>121.07</v>
      </c>
      <c r="I99">
        <v>216.85</v>
      </c>
      <c r="J99">
        <v>2.66</v>
      </c>
      <c r="K99">
        <v>50.06</v>
      </c>
      <c r="L99" s="2">
        <f>12*(B99-B98)/B98-'tassi 1 mese'!$D101</f>
        <v>-0.52080789946140094</v>
      </c>
      <c r="M99" s="2">
        <f>12*(C99-C98)/C98-'tassi 1 mese'!$D101</f>
        <v>-0.83533032448836542</v>
      </c>
      <c r="N99" s="2">
        <f>12*(D99-D98)/D98-'tassi 1 mese'!$D101</f>
        <v>-1.8213529450304664</v>
      </c>
      <c r="O99" s="2">
        <f>12*(E99-E98)/E98-'tassi 1 mese'!$D101</f>
        <v>-0.52039878465628486</v>
      </c>
      <c r="P99" s="2">
        <f>12*(F99-F98)/F98-'tassi 1 mese'!$D101</f>
        <v>-0.37</v>
      </c>
      <c r="Q99" s="2">
        <f>12*(G99-G98)/G98-'tassi 1 mese'!$D101</f>
        <v>-1.0629133858267725</v>
      </c>
      <c r="R99" s="2">
        <f>12*(H99-H98)/H98-'tassi 1 mese'!$D101</f>
        <v>0.11251568004123991</v>
      </c>
      <c r="S99" s="2">
        <f>12*(I99-I98)/I98-'tassi 1 mese'!$D101</f>
        <v>-2.0483150212208963</v>
      </c>
      <c r="T99" s="2">
        <f>12*(J99-J98)/J98-'tassi 1 mese'!$D101</f>
        <v>-1.3440932642487042</v>
      </c>
      <c r="U99" s="16">
        <f>12*(K99-K98)/K98-'tassi 1 mese'!$D101</f>
        <v>-1.5462162162162159</v>
      </c>
    </row>
    <row r="100" spans="1:21" x14ac:dyDescent="0.25">
      <c r="A100" s="9">
        <v>44621</v>
      </c>
      <c r="B100">
        <v>123.9999</v>
      </c>
      <c r="C100">
        <v>456.1001</v>
      </c>
      <c r="D100">
        <v>132.93</v>
      </c>
      <c r="E100">
        <v>28.86</v>
      </c>
      <c r="F100">
        <v>8.48</v>
      </c>
      <c r="G100">
        <v>78.2</v>
      </c>
      <c r="H100">
        <v>143.9</v>
      </c>
      <c r="I100">
        <v>216.04</v>
      </c>
      <c r="J100">
        <v>2.56</v>
      </c>
      <c r="K100">
        <v>50.5</v>
      </c>
      <c r="L100" s="2">
        <f>12*(B100-B99)/B99-'tassi 1 mese'!$D102</f>
        <v>1.0172618181818178</v>
      </c>
      <c r="M100" s="2">
        <f>12*(C100-C99)/C99-'tassi 1 mese'!$D102</f>
        <v>2.259279839905056</v>
      </c>
      <c r="N100" s="2">
        <f>12*(D100-D99)/D99-'tassi 1 mese'!$D102</f>
        <v>-0.62090407691734195</v>
      </c>
      <c r="O100" s="2">
        <f>12*(E100-E99)/E99-'tassi 1 mese'!$D102</f>
        <v>0.80999999999999983</v>
      </c>
      <c r="P100" s="2">
        <f>12*(F100-F99)/F99-'tassi 1 mese'!$D102</f>
        <v>-0.51</v>
      </c>
      <c r="Q100" s="2">
        <f>12*(G100-G99)/G99-'tassi 1 mese'!$D102</f>
        <v>0.55963788300835748</v>
      </c>
      <c r="R100" s="2">
        <f>12*(H100-H99)/H99-'tassi 1 mese'!$D102</f>
        <v>1.7528231601552833</v>
      </c>
      <c r="S100" s="2">
        <f>12*(I100-I99)/I99-'tassi 1 mese'!$D102</f>
        <v>-0.55482361079086939</v>
      </c>
      <c r="T100" s="2">
        <f>12*(J100-J99)/J99-'tassi 1 mese'!$D102</f>
        <v>-0.96112781954887261</v>
      </c>
      <c r="U100" s="16">
        <f>12*(K100-K99)/K99-'tassi 1 mese'!$D102</f>
        <v>-0.40452656811825866</v>
      </c>
    </row>
    <row r="101" spans="1:21" x14ac:dyDescent="0.25">
      <c r="A101" s="9">
        <v>44652</v>
      </c>
      <c r="B101">
        <v>110</v>
      </c>
      <c r="C101">
        <v>454.79</v>
      </c>
      <c r="D101">
        <v>140.12</v>
      </c>
      <c r="E101">
        <v>26.94</v>
      </c>
      <c r="F101">
        <v>8.48</v>
      </c>
      <c r="G101">
        <v>49.2</v>
      </c>
      <c r="H101">
        <v>139.22999999999999</v>
      </c>
      <c r="I101">
        <v>225.27</v>
      </c>
      <c r="J101">
        <v>2.58</v>
      </c>
      <c r="K101">
        <v>50.5</v>
      </c>
      <c r="L101" s="2">
        <f>12*(B101-B100)/B100-'tassi 1 mese'!$D103</f>
        <v>-2.1848301248630038</v>
      </c>
      <c r="M101" s="2">
        <f>12*(C101-C100)/C100-'tassi 1 mese'!$D103</f>
        <v>-0.86446874929428807</v>
      </c>
      <c r="N101" s="2">
        <f>12*(D101-D100)/D100-'tassi 1 mese'!$D103</f>
        <v>-0.18093658316407146</v>
      </c>
      <c r="O101" s="2">
        <f>12*(E101-E100)/E100-'tassi 1 mese'!$D103</f>
        <v>-1.6283367983367976</v>
      </c>
      <c r="P101" s="2">
        <f>12*(F101-F100)/F100-'tassi 1 mese'!$D103</f>
        <v>-0.83</v>
      </c>
      <c r="Q101" s="2">
        <f>12*(G101-G100)/G100-'tassi 1 mese'!$D103</f>
        <v>-5.2801278772378515</v>
      </c>
      <c r="R101" s="2">
        <f>12*(H101-H100)/H100-'tassi 1 mese'!$D103</f>
        <v>-1.2194371091035454</v>
      </c>
      <c r="S101" s="2">
        <f>12*(I101-I100)/I100-'tassi 1 mese'!$D103</f>
        <v>-0.31731716348824179</v>
      </c>
      <c r="T101" s="2">
        <f>12*(J101-J100)/J100-'tassi 1 mese'!$D103</f>
        <v>-0.73624999999999985</v>
      </c>
      <c r="U101" s="16">
        <f>12*(K101-K100)/K100-'tassi 1 mese'!$D103</f>
        <v>-0.83</v>
      </c>
    </row>
    <row r="102" spans="1:21" x14ac:dyDescent="0.25">
      <c r="A102" s="9">
        <v>44682</v>
      </c>
      <c r="B102">
        <v>86</v>
      </c>
      <c r="C102">
        <v>438.62009999999998</v>
      </c>
      <c r="D102">
        <v>131.35</v>
      </c>
      <c r="E102">
        <v>25.39</v>
      </c>
      <c r="F102">
        <v>8.48</v>
      </c>
      <c r="G102">
        <v>44.599899999999998</v>
      </c>
      <c r="H102">
        <v>128.54</v>
      </c>
      <c r="I102">
        <v>175</v>
      </c>
      <c r="J102">
        <v>2.54</v>
      </c>
      <c r="K102">
        <v>50.5</v>
      </c>
      <c r="L102" s="2">
        <f>12*(B102-B101)/B101-'tassi 1 mese'!$D104</f>
        <v>-3.7481818181818181</v>
      </c>
      <c r="M102" s="2">
        <f>12*(C102-C101)/C101-'tassi 1 mese'!$D104</f>
        <v>-1.5566558191692879</v>
      </c>
      <c r="N102" s="2">
        <f>12*(D102-D101)/D101-'tassi 1 mese'!$D104</f>
        <v>-1.8810705109905803</v>
      </c>
      <c r="O102" s="2">
        <f>12*(E102-E101)/E101-'tassi 1 mese'!$D104</f>
        <v>-1.820423162583519</v>
      </c>
      <c r="P102" s="2">
        <f>12*(F102-F101)/F101-'tassi 1 mese'!$D104</f>
        <v>-1.1299999999999999</v>
      </c>
      <c r="Q102" s="2">
        <f>12*(G102-G101)/G101-'tassi 1 mese'!$D104</f>
        <v>-2.2519756097560988</v>
      </c>
      <c r="R102" s="2">
        <f>12*(H102-H101)/H101-'tassi 1 mese'!$D104</f>
        <v>-2.051353156647274</v>
      </c>
      <c r="S102" s="2">
        <f>12*(I102-I101)/I101-'tassi 1 mese'!$D104</f>
        <v>-3.8078532427753364</v>
      </c>
      <c r="T102" s="2">
        <f>12*(J102-J101)/J101-'tassi 1 mese'!$D104</f>
        <v>-1.316046511627907</v>
      </c>
      <c r="U102" s="16">
        <f>12*(K102-K101)/K101-'tassi 1 mese'!$D104</f>
        <v>-1.1299999999999999</v>
      </c>
    </row>
    <row r="103" spans="1:21" x14ac:dyDescent="0.25">
      <c r="A103" s="9">
        <v>44713</v>
      </c>
      <c r="B103">
        <v>66.799899999999994</v>
      </c>
      <c r="C103">
        <v>464.25</v>
      </c>
      <c r="D103">
        <v>121.7</v>
      </c>
      <c r="E103">
        <v>24.36</v>
      </c>
      <c r="F103">
        <v>8.48</v>
      </c>
      <c r="G103">
        <v>56.399900000000002</v>
      </c>
      <c r="H103">
        <v>126.35</v>
      </c>
      <c r="I103">
        <v>174.37</v>
      </c>
      <c r="J103">
        <v>2.42</v>
      </c>
      <c r="K103">
        <v>58.28</v>
      </c>
      <c r="L103" s="2">
        <f>12*(B103-B102)/B102-'tassi 1 mese'!$D105</f>
        <v>-4.3390837209302333</v>
      </c>
      <c r="M103" s="2">
        <f>12*(C103-C102)/C102-'tassi 1 mese'!$D105</f>
        <v>-0.95880367999551253</v>
      </c>
      <c r="N103" s="2">
        <f>12*(D103-D102)/D102-'tassi 1 mese'!$D105</f>
        <v>-2.5416140083745709</v>
      </c>
      <c r="O103" s="2">
        <f>12*(E103-E102)/E102-'tassi 1 mese'!$D105</f>
        <v>-2.1468058290665621</v>
      </c>
      <c r="P103" s="2">
        <f>12*(F103-F102)/F102-'tassi 1 mese'!$D105</f>
        <v>-1.66</v>
      </c>
      <c r="Q103" s="2">
        <f>12*(G103-G102)/G102-'tassi 1 mese'!$D105</f>
        <v>1.5148950109753623</v>
      </c>
      <c r="R103" s="2">
        <f>12*(H103-H102)/H102-'tassi 1 mese'!$D105</f>
        <v>-1.8644499766609612</v>
      </c>
      <c r="S103" s="2">
        <f>12*(I103-I102)/I102-'tassi 1 mese'!$D105</f>
        <v>-1.7031999999999996</v>
      </c>
      <c r="T103" s="2">
        <f>12*(J103-J102)/J102-'tassi 1 mese'!$D105</f>
        <v>-2.2269291338582682</v>
      </c>
      <c r="U103" s="16">
        <f>12*(K103-K102)/K102-'tassi 1 mese'!$D105</f>
        <v>0.1887128712871291</v>
      </c>
    </row>
    <row r="104" spans="1:21" x14ac:dyDescent="0.25">
      <c r="A104" s="9">
        <v>44743</v>
      </c>
      <c r="B104">
        <v>66.98</v>
      </c>
      <c r="C104">
        <v>486.37009999999998</v>
      </c>
      <c r="D104">
        <v>117.23</v>
      </c>
      <c r="E104">
        <v>22.28</v>
      </c>
      <c r="F104">
        <v>8.48</v>
      </c>
      <c r="G104">
        <v>76.8</v>
      </c>
      <c r="H104">
        <v>123.83</v>
      </c>
      <c r="I104">
        <v>170.81</v>
      </c>
      <c r="J104">
        <v>2.36</v>
      </c>
      <c r="K104">
        <v>46.920099999999998</v>
      </c>
      <c r="L104" s="2">
        <f>12*(B104-B103)/B103-'tassi 1 mese'!$D106</f>
        <v>-2.3076466581536779</v>
      </c>
      <c r="M104" s="2">
        <f>12*(C104-C103)/C103-'tassi 1 mese'!$D106</f>
        <v>-1.7682365105008082</v>
      </c>
      <c r="N104" s="2">
        <f>12*(D104-D103)/D103-'tassi 1 mese'!$D106</f>
        <v>-2.78075595727198</v>
      </c>
      <c r="O104" s="2">
        <f>12*(E104-E103)/E103-'tassi 1 mese'!$D106</f>
        <v>-3.3646305418719202</v>
      </c>
      <c r="P104" s="2">
        <f>12*(F104-F103)/F103-'tassi 1 mese'!$D106</f>
        <v>-2.34</v>
      </c>
      <c r="Q104" s="2">
        <f>12*(G104-G103)/G103-'tassi 1 mese'!$D106</f>
        <v>2.000454504351957</v>
      </c>
      <c r="R104" s="2">
        <f>12*(H104-H103)/H103-'tassi 1 mese'!$D106</f>
        <v>-2.5793351800554012</v>
      </c>
      <c r="S104" s="2">
        <f>12*(I104-I103)/I103-'tassi 1 mese'!$D106</f>
        <v>-2.5849962722945463</v>
      </c>
      <c r="T104" s="2">
        <f>12*(J104-J103)/J103-'tassi 1 mese'!$D106</f>
        <v>-2.637520661157025</v>
      </c>
      <c r="U104" s="16">
        <f>12*(K104-K103)/K103-'tassi 1 mese'!$D106</f>
        <v>-4.6790322580645167</v>
      </c>
    </row>
    <row r="105" spans="1:21" x14ac:dyDescent="0.25">
      <c r="A105" s="9">
        <v>44774</v>
      </c>
      <c r="B105">
        <v>60.1</v>
      </c>
      <c r="C105">
        <v>475.62990000000002</v>
      </c>
      <c r="D105">
        <v>140.16</v>
      </c>
      <c r="E105">
        <v>24.77</v>
      </c>
      <c r="F105">
        <v>8.48</v>
      </c>
      <c r="G105">
        <v>77.399900000000002</v>
      </c>
      <c r="H105">
        <v>119.03</v>
      </c>
      <c r="I105">
        <v>193.12</v>
      </c>
      <c r="J105">
        <v>2.29</v>
      </c>
      <c r="K105">
        <v>53.51</v>
      </c>
      <c r="L105" s="2">
        <f>12*(B105-B104)/B104-'tassi 1 mese'!$D107</f>
        <v>-4.1026067482830699</v>
      </c>
      <c r="M105" s="2">
        <f>12*(C105-C104)/C104-'tassi 1 mese'!$D107</f>
        <v>-3.1349883288466942</v>
      </c>
      <c r="N105" s="2">
        <f>12*(D105-D104)/D104-'tassi 1 mese'!$D107</f>
        <v>-0.52281924422076376</v>
      </c>
      <c r="O105" s="2">
        <f>12*(E105-E104)/E104-'tassi 1 mese'!$D107</f>
        <v>-1.528886894075405</v>
      </c>
      <c r="P105" s="2">
        <f>12*(F105-F104)/F104-'tassi 1 mese'!$D107</f>
        <v>-2.87</v>
      </c>
      <c r="Q105" s="2">
        <f>12*(G105-G104)/G104-'tassi 1 mese'!$D107</f>
        <v>-2.7762656249999993</v>
      </c>
      <c r="R105" s="2">
        <f>12*(H105-H104)/H104-'tassi 1 mese'!$D107</f>
        <v>-3.3351538399418557</v>
      </c>
      <c r="S105" s="2">
        <f>12*(I105-I104)/I104-'tassi 1 mese'!$D107</f>
        <v>-1.3026444587553421</v>
      </c>
      <c r="T105" s="2">
        <f>12*(J105-J104)/J104-'tassi 1 mese'!$D107</f>
        <v>-3.2259322033898297</v>
      </c>
      <c r="U105" s="16">
        <f>12*(K105-K104)/K104-'tassi 1 mese'!$D107</f>
        <v>-1.1846071726189842</v>
      </c>
    </row>
    <row r="106" spans="1:21" x14ac:dyDescent="0.25">
      <c r="A106" s="9">
        <v>44805</v>
      </c>
      <c r="B106">
        <v>74.2</v>
      </c>
      <c r="C106">
        <v>480.32010000000002</v>
      </c>
      <c r="D106">
        <v>140.09</v>
      </c>
      <c r="E106">
        <v>22.58</v>
      </c>
      <c r="F106">
        <v>8.48</v>
      </c>
      <c r="G106">
        <v>77</v>
      </c>
      <c r="H106">
        <v>119.62</v>
      </c>
      <c r="I106">
        <v>182.43</v>
      </c>
      <c r="J106">
        <v>2.2999999999999998</v>
      </c>
      <c r="K106">
        <v>61.15</v>
      </c>
      <c r="L106" s="2">
        <f>12*(B106-B105)/B105-'tassi 1 mese'!$D108</f>
        <v>-0.4046921797004992</v>
      </c>
      <c r="M106" s="2">
        <f>12*(C106-C105)/C105-'tassi 1 mese'!$D108</f>
        <v>-3.1016676579836551</v>
      </c>
      <c r="N106" s="2">
        <f>12*(D106-D105)/D105-'tassi 1 mese'!$D108</f>
        <v>-3.2259931506849311</v>
      </c>
      <c r="O106" s="2">
        <f>12*(E106-E105)/E105-'tassi 1 mese'!$D108</f>
        <v>-4.2809608397254753</v>
      </c>
      <c r="P106" s="2">
        <f>12*(F106-F105)/F105-'tassi 1 mese'!$D108</f>
        <v>-3.22</v>
      </c>
      <c r="Q106" s="2">
        <f>12*(G106-G105)/G105-'tassi 1 mese'!$D108</f>
        <v>-3.2820000801034634</v>
      </c>
      <c r="R106" s="2">
        <f>12*(H106-H105)/H105-'tassi 1 mese'!$D108</f>
        <v>-3.1605191968411321</v>
      </c>
      <c r="S106" s="2">
        <f>12*(I106-I105)/I105-'tassi 1 mese'!$D108</f>
        <v>-3.8842502071251035</v>
      </c>
      <c r="T106" s="2">
        <f>12*(J106-J105)/J105-'tassi 1 mese'!$D108</f>
        <v>-3.1675982532751106</v>
      </c>
      <c r="U106" s="16">
        <f>12*(K106-K105)/K105-'tassi 1 mese'!$D108</f>
        <v>-1.5066753877779855</v>
      </c>
    </row>
    <row r="107" spans="1:21" x14ac:dyDescent="0.25">
      <c r="A107" s="9">
        <v>44835</v>
      </c>
      <c r="B107">
        <v>55.24</v>
      </c>
      <c r="C107">
        <v>485.71</v>
      </c>
      <c r="D107">
        <v>135.59</v>
      </c>
      <c r="E107">
        <v>20.52</v>
      </c>
      <c r="F107">
        <v>8.48</v>
      </c>
      <c r="G107">
        <v>94.599900000000005</v>
      </c>
      <c r="H107">
        <v>115.92</v>
      </c>
      <c r="I107">
        <v>179.3</v>
      </c>
      <c r="J107">
        <v>2.29</v>
      </c>
      <c r="K107">
        <v>61.15</v>
      </c>
      <c r="L107" s="2">
        <f>12*(B107-B106)/B106-'tassi 1 mese'!$D109</f>
        <v>-7.1263072776280314</v>
      </c>
      <c r="M107" s="2">
        <f>12*(C107-C106)/C106-'tassi 1 mese'!$D109</f>
        <v>-3.9253422998537859</v>
      </c>
      <c r="N107" s="2">
        <f>12*(D107-D106)/D106-'tassi 1 mese'!$D109</f>
        <v>-4.4454664858305373</v>
      </c>
      <c r="O107" s="2">
        <f>12*(E107-E106)/E106-'tassi 1 mese'!$D109</f>
        <v>-5.1547741364038959</v>
      </c>
      <c r="P107" s="2">
        <f>12*(F107-F106)/F106-'tassi 1 mese'!$D109</f>
        <v>-4.0599999999999996</v>
      </c>
      <c r="Q107" s="2">
        <f>12*(G107-G106)/G106-'tassi 1 mese'!$D109</f>
        <v>-1.3171584415584405</v>
      </c>
      <c r="R107" s="2">
        <f>12*(H107-H106)/H106-'tassi 1 mese'!$D109</f>
        <v>-4.4311753887309813</v>
      </c>
      <c r="S107" s="2">
        <f>12*(I107-I106)/I106-'tassi 1 mese'!$D109</f>
        <v>-4.2658871896069721</v>
      </c>
      <c r="T107" s="2">
        <f>12*(J107-J106)/J106-'tassi 1 mese'!$D109</f>
        <v>-4.1121739130434767</v>
      </c>
      <c r="U107" s="16">
        <f>12*(K107-K106)/K106-'tassi 1 mese'!$D109</f>
        <v>-4.0599999999999996</v>
      </c>
    </row>
    <row r="108" spans="1:21" ht="15.75" thickBot="1" x14ac:dyDescent="0.3">
      <c r="A108" s="11">
        <v>44866</v>
      </c>
      <c r="B108" s="12">
        <v>47.4</v>
      </c>
      <c r="C108" s="12">
        <v>535.87990000000002</v>
      </c>
      <c r="D108" s="12">
        <v>117.58</v>
      </c>
      <c r="E108" s="12">
        <v>22.96</v>
      </c>
      <c r="F108" s="12">
        <v>8.48</v>
      </c>
      <c r="G108" s="12">
        <v>98.8</v>
      </c>
      <c r="H108" s="12">
        <v>129.82</v>
      </c>
      <c r="I108" s="12">
        <v>196.97</v>
      </c>
      <c r="J108" s="12">
        <v>2.42</v>
      </c>
      <c r="K108" s="12">
        <v>61.15</v>
      </c>
      <c r="L108" s="13">
        <f>12*(B108-B107)/B107-'tassi 1 mese'!$D110</f>
        <v>-5.9731136857349751</v>
      </c>
      <c r="M108" s="13">
        <f>12*(C108-C107)/C107-'tassi 1 mese'!$D110</f>
        <v>-3.0304974161536702</v>
      </c>
      <c r="N108" s="13">
        <f>12*(D108-D107)/D107-'tassi 1 mese'!$D110</f>
        <v>-5.8639228556678216</v>
      </c>
      <c r="O108" s="13">
        <f>12*(E108-E107)/E107-'tassi 1 mese'!$D110</f>
        <v>-2.8430994152046773</v>
      </c>
      <c r="P108" s="13">
        <f>12*(F108-F107)/F107-'tassi 1 mese'!$D110</f>
        <v>-4.2699999999999996</v>
      </c>
      <c r="Q108" s="13">
        <f>12*(G108-G107)/G107-'tassi 1 mese'!$D110</f>
        <v>-3.7372171957898481</v>
      </c>
      <c r="R108" s="13">
        <f>12*(H108-H107)/H107-'tassi 1 mese'!$D110</f>
        <v>-2.8310766045548661</v>
      </c>
      <c r="S108" s="13">
        <f>12*(I108-I107)/I107-'tassi 1 mese'!$D110</f>
        <v>-3.0874010039040716</v>
      </c>
      <c r="T108" s="13">
        <f>12*(J108-J107)/J107-'tassi 1 mese'!$D110</f>
        <v>-3.5887772925764194</v>
      </c>
      <c r="U108" s="17">
        <f>12*(K108-K107)/K107-'tassi 1 mese'!$D110</f>
        <v>-4.2699999999999996</v>
      </c>
    </row>
    <row r="109" spans="1:21" x14ac:dyDescent="0.25">
      <c r="A109" s="1">
        <v>44896</v>
      </c>
      <c r="B109">
        <v>41.2</v>
      </c>
      <c r="C109">
        <v>530.29999999999995</v>
      </c>
      <c r="D109">
        <v>127.04</v>
      </c>
      <c r="E109">
        <v>23.76</v>
      </c>
      <c r="F109">
        <v>8.48</v>
      </c>
      <c r="G109">
        <v>60.4</v>
      </c>
      <c r="H109">
        <v>134.5</v>
      </c>
      <c r="I109">
        <v>204.57</v>
      </c>
      <c r="J109">
        <v>2.2000000000000002</v>
      </c>
      <c r="K109">
        <v>49.91</v>
      </c>
      <c r="L109" s="18">
        <f>12*(B109-B108)/B108-'tassi 1 mese'!$D111</f>
        <v>-5.8696202531645554</v>
      </c>
      <c r="M109" s="18">
        <f>12*(C109-C108)/C108-'tassi 1 mese'!$D111</f>
        <v>-4.424951131774117</v>
      </c>
      <c r="N109" s="18">
        <f>12*(D109-D108)/D108-'tassi 1 mese'!$D111</f>
        <v>-3.3345296819186929</v>
      </c>
      <c r="O109" s="18">
        <f>12*(E109-E108)/E108-'tassi 1 mese'!$D111</f>
        <v>-3.881881533101045</v>
      </c>
      <c r="P109" s="18">
        <f>12*(F109-F108)/F108-'tassi 1 mese'!$D111</f>
        <v>-4.3</v>
      </c>
      <c r="Q109" s="18">
        <f>12*(G109-G108)/G108-'tassi 1 mese'!$D111</f>
        <v>-8.9639676113360309</v>
      </c>
      <c r="R109" s="18">
        <f>12*(H109-H108)/H108-'tassi 1 mese'!$D111</f>
        <v>-3.8674010167924813</v>
      </c>
      <c r="S109" s="18">
        <f>12*(I109-I108)/I108-'tassi 1 mese'!$D111</f>
        <v>-3.8369853277148804</v>
      </c>
      <c r="T109" s="18">
        <f>12*(J109-J108)/J108-'tassi 1 mese'!$D111</f>
        <v>-5.3909090909090898</v>
      </c>
      <c r="U109" s="18">
        <f>12*(K109-K108)/K108-'tassi 1 mese'!$D111</f>
        <v>-6.5057236304170072</v>
      </c>
    </row>
    <row r="110" spans="1:21" x14ac:dyDescent="0.25">
      <c r="A110" s="1">
        <v>44927</v>
      </c>
      <c r="B110">
        <v>35.6</v>
      </c>
      <c r="C110">
        <v>545.61009999999999</v>
      </c>
      <c r="D110">
        <v>121.4</v>
      </c>
      <c r="E110">
        <v>21.43</v>
      </c>
      <c r="F110">
        <v>8.48</v>
      </c>
      <c r="G110">
        <v>63.2</v>
      </c>
      <c r="H110">
        <v>126.16</v>
      </c>
      <c r="I110">
        <v>205.44</v>
      </c>
      <c r="J110">
        <v>2.2000000000000002</v>
      </c>
      <c r="K110">
        <v>45.398000000000003</v>
      </c>
      <c r="L110" s="18">
        <f>12*(B110-B109)/B109-'tassi 1 mese'!$D112</f>
        <v>-6.2110679611650488</v>
      </c>
      <c r="M110" s="18">
        <f>12*(C110-C109)/C109-'tassi 1 mese'!$D112</f>
        <v>-4.2335523288704504</v>
      </c>
      <c r="N110" s="18">
        <f>12*(D110-D109)/D109-'tassi 1 mese'!$D112</f>
        <v>-5.1127455919395466</v>
      </c>
      <c r="O110" s="18">
        <f>12*(E110-E109)/E109-'tassi 1 mese'!$D112</f>
        <v>-5.7567676767676774</v>
      </c>
      <c r="P110" s="18">
        <f>12*(F110-F109)/F109-'tassi 1 mese'!$D112</f>
        <v>-4.58</v>
      </c>
      <c r="Q110" s="18">
        <f>12*(G110-G109)/G109-'tassi 1 mese'!$D112</f>
        <v>-4.0237086092715222</v>
      </c>
      <c r="R110" s="18">
        <f>12*(H110-H109)/H109-'tassi 1 mese'!$D112</f>
        <v>-5.3240892193308555</v>
      </c>
      <c r="S110" s="18">
        <f>12*(I110-I109)/I109-'tassi 1 mese'!$D112</f>
        <v>-4.5289661240651116</v>
      </c>
      <c r="T110" s="18">
        <f>12*(J110-J109)/J109-'tassi 1 mese'!$D112</f>
        <v>-4.58</v>
      </c>
      <c r="U110" s="18">
        <f>12*(K110-K109)/K109-'tassi 1 mese'!$D112</f>
        <v>-5.6648326988579427</v>
      </c>
    </row>
    <row r="111" spans="1:21" x14ac:dyDescent="0.25">
      <c r="A111" s="1">
        <v>44958</v>
      </c>
      <c r="B111">
        <v>48.4</v>
      </c>
      <c r="C111">
        <v>442.59010000000001</v>
      </c>
      <c r="D111">
        <v>136.43</v>
      </c>
      <c r="E111">
        <v>23.36</v>
      </c>
      <c r="F111">
        <v>8.48</v>
      </c>
      <c r="G111">
        <v>70.599900000000005</v>
      </c>
      <c r="H111">
        <v>129.56</v>
      </c>
      <c r="I111">
        <v>220.73</v>
      </c>
      <c r="J111">
        <v>2.2000000000000002</v>
      </c>
      <c r="K111">
        <v>48.64</v>
      </c>
      <c r="L111" s="18">
        <f>12*(B111-B110)/B110-'tassi 1 mese'!$D113</f>
        <v>-0.40539325842696705</v>
      </c>
      <c r="M111" s="18">
        <f>12*(C111-C110)/C110-'tassi 1 mese'!$D113</f>
        <v>-6.9857938333619547</v>
      </c>
      <c r="N111" s="18">
        <f>12*(D111-D110)/D110-'tassi 1 mese'!$D113</f>
        <v>-3.234332784184514</v>
      </c>
      <c r="O111" s="18">
        <f>12*(E111-E110)/E110-'tassi 1 mese'!$D113</f>
        <v>-3.6392720485300978</v>
      </c>
      <c r="P111" s="18">
        <f>12*(F111-F110)/F110-'tassi 1 mese'!$D113</f>
        <v>-4.72</v>
      </c>
      <c r="Q111" s="18">
        <f>12*(G111-G110)/G110-'tassi 1 mese'!$D113</f>
        <v>-3.3149556962025311</v>
      </c>
      <c r="R111" s="18">
        <f>12*(H111-H110)/H110-'tassi 1 mese'!$D113</f>
        <v>-4.3966011414077357</v>
      </c>
      <c r="S111" s="18">
        <f>12*(I111-I110)/I110-'tassi 1 mese'!$D113</f>
        <v>-3.8268925233644859</v>
      </c>
      <c r="T111" s="18">
        <f>12*(J111-J110)/J110-'tassi 1 mese'!$D113</f>
        <v>-4.72</v>
      </c>
      <c r="U111" s="18">
        <f>12*(K111-K110)/K110-'tassi 1 mese'!$D113</f>
        <v>-3.8630459491607567</v>
      </c>
    </row>
    <row r="112" spans="1:21" x14ac:dyDescent="0.25">
      <c r="A112" s="1">
        <v>44986</v>
      </c>
      <c r="B112">
        <v>35.200000000000003</v>
      </c>
      <c r="C112">
        <v>462.55</v>
      </c>
      <c r="D112">
        <v>143.87</v>
      </c>
      <c r="E112">
        <v>19.190000000000001</v>
      </c>
      <c r="F112">
        <v>8.48</v>
      </c>
      <c r="G112">
        <v>45.8</v>
      </c>
      <c r="H112">
        <v>123.78</v>
      </c>
      <c r="I112">
        <v>196.27</v>
      </c>
      <c r="J112">
        <v>2.16</v>
      </c>
      <c r="K112">
        <v>48.72</v>
      </c>
      <c r="L112" s="18">
        <f>12*(B112-B111)/B111-'tassi 1 mese'!$D114</f>
        <v>-7.9527272727272713</v>
      </c>
      <c r="M112" s="18">
        <f>12*(C112-C111)/C111-'tassi 1 mese'!$D114</f>
        <v>-4.1388247681093633</v>
      </c>
      <c r="N112" s="18">
        <f>12*(D112-D111)/D111-'tassi 1 mese'!$D114</f>
        <v>-4.0255984754086347</v>
      </c>
      <c r="O112" s="18">
        <f>12*(E112-E111)/E111-'tassi 1 mese'!$D114</f>
        <v>-6.8221232876712321</v>
      </c>
      <c r="P112" s="18">
        <f>12*(F112-F111)/F111-'tassi 1 mese'!$D114</f>
        <v>-4.68</v>
      </c>
      <c r="Q112" s="18">
        <f>12*(G112-G111)/G111-'tassi 1 mese'!$D114</f>
        <v>-8.8952864239184493</v>
      </c>
      <c r="R112" s="18">
        <f>12*(H112-H111)/H111-'tassi 1 mese'!$D114</f>
        <v>-5.2153504167953066</v>
      </c>
      <c r="S112" s="18">
        <f>12*(I112-I111)/I111-'tassi 1 mese'!$D114</f>
        <v>-6.0097694015312815</v>
      </c>
      <c r="T112" s="18">
        <f>12*(J112-J111)/J111-'tassi 1 mese'!$D114</f>
        <v>-4.8981818181818184</v>
      </c>
      <c r="U112" s="18">
        <f>12*(K112-K111)/K111-'tassi 1 mese'!$D114</f>
        <v>-4.6602631578947369</v>
      </c>
    </row>
    <row r="113" spans="1:21" x14ac:dyDescent="0.25">
      <c r="A113" s="1">
        <v>45017</v>
      </c>
      <c r="B113">
        <v>28.2</v>
      </c>
      <c r="C113">
        <v>469.18990000000002</v>
      </c>
      <c r="D113">
        <v>156.63999999999999</v>
      </c>
      <c r="E113">
        <v>17.16</v>
      </c>
      <c r="F113">
        <v>8.48</v>
      </c>
      <c r="G113">
        <v>23.3</v>
      </c>
      <c r="H113">
        <v>130.72</v>
      </c>
      <c r="I113">
        <v>213.34</v>
      </c>
      <c r="J113">
        <v>2.1800000000000002</v>
      </c>
      <c r="K113">
        <v>48.35</v>
      </c>
      <c r="L113" s="18">
        <f>12*(B113-B112)/B112-'tassi 1 mese'!$D115</f>
        <v>-7.3363636363636378</v>
      </c>
      <c r="M113" s="18">
        <f>12*(C113-C112)/C112-'tassi 1 mese'!$D115</f>
        <v>-4.7777401362014915</v>
      </c>
      <c r="N113" s="18">
        <f>12*(D113-D112)/D112-'tassi 1 mese'!$D115</f>
        <v>-3.8848717592270816</v>
      </c>
      <c r="O113" s="18">
        <f>12*(E113-E112)/E112-'tassi 1 mese'!$D115</f>
        <v>-6.2194111516414807</v>
      </c>
      <c r="P113" s="18">
        <f>12*(F113-F112)/F112-'tassi 1 mese'!$D115</f>
        <v>-4.95</v>
      </c>
      <c r="Q113" s="18">
        <f>12*(G113-G112)/G112-'tassi 1 mese'!$D115</f>
        <v>-10.845196506550216</v>
      </c>
      <c r="R113" s="18">
        <f>12*(H113-H112)/H112-'tassi 1 mese'!$D115</f>
        <v>-4.2771934076587499</v>
      </c>
      <c r="S113" s="18">
        <f>12*(I113-I112)/I112-'tassi 1 mese'!$D115</f>
        <v>-3.906335660060122</v>
      </c>
      <c r="T113" s="18">
        <f>12*(J113-J112)/J112-'tassi 1 mese'!$D115</f>
        <v>-4.8388888888888886</v>
      </c>
      <c r="U113" s="18">
        <f>12*(K113-K112)/K112-'tassi 1 mese'!$D115</f>
        <v>-5.0411330049261078</v>
      </c>
    </row>
    <row r="114" spans="1:21" x14ac:dyDescent="0.25">
      <c r="A114" s="1">
        <v>45047</v>
      </c>
      <c r="B114">
        <v>25.603999999999999</v>
      </c>
      <c r="C114">
        <v>462.72</v>
      </c>
      <c r="D114">
        <v>169.16</v>
      </c>
      <c r="E114">
        <v>17.66</v>
      </c>
      <c r="F114">
        <v>8.48</v>
      </c>
      <c r="G114">
        <v>21.2</v>
      </c>
      <c r="H114">
        <v>118.52</v>
      </c>
      <c r="I114">
        <v>219.4</v>
      </c>
      <c r="J114">
        <v>2.1</v>
      </c>
      <c r="K114">
        <v>48.35</v>
      </c>
      <c r="L114" s="18">
        <f>12*(B114-B113)/B113-'tassi 1 mese'!$D116</f>
        <v>-6.36468085106383</v>
      </c>
      <c r="M114" s="18">
        <f>12*(C114-C113)/C113-'tassi 1 mese'!$D116</f>
        <v>-5.4254741502321338</v>
      </c>
      <c r="N114" s="18">
        <f>12*(D114-D113)/D113-'tassi 1 mese'!$D116</f>
        <v>-4.3008580183861067</v>
      </c>
      <c r="O114" s="18">
        <f>12*(E114-E113)/E113-'tassi 1 mese'!$D116</f>
        <v>-4.9103496503496498</v>
      </c>
      <c r="P114" s="18">
        <f>12*(F114-F113)/F113-'tassi 1 mese'!$D116</f>
        <v>-5.26</v>
      </c>
      <c r="Q114" s="18">
        <f>12*(G114-G113)/G113-'tassi 1 mese'!$D116</f>
        <v>-6.3415450643776827</v>
      </c>
      <c r="R114" s="18">
        <f>12*(H114-H113)/H113-'tassi 1 mese'!$D116</f>
        <v>-6.3799510403916768</v>
      </c>
      <c r="S114" s="18">
        <f>12*(I114-I113)/I113-'tassi 1 mese'!$D116</f>
        <v>-4.9191356520108744</v>
      </c>
      <c r="T114" s="18">
        <f>12*(J114-J113)/J113-'tassi 1 mese'!$D116</f>
        <v>-5.700366972477064</v>
      </c>
      <c r="U114" s="18">
        <f>12*(K114-K113)/K113-'tassi 1 mese'!$D116</f>
        <v>-5.26</v>
      </c>
    </row>
    <row r="115" spans="1:21" x14ac:dyDescent="0.25">
      <c r="A115" s="1">
        <v>45078</v>
      </c>
      <c r="B115">
        <v>23.2</v>
      </c>
      <c r="C115">
        <v>438.51</v>
      </c>
      <c r="D115">
        <v>183.43</v>
      </c>
      <c r="E115">
        <v>17.55</v>
      </c>
      <c r="F115">
        <v>8.48</v>
      </c>
      <c r="G115">
        <v>28.4</v>
      </c>
      <c r="H115">
        <v>124.18</v>
      </c>
      <c r="I115">
        <v>223.28</v>
      </c>
      <c r="J115">
        <v>2.25</v>
      </c>
      <c r="K115">
        <v>48.35</v>
      </c>
      <c r="L115" s="18">
        <f>12*(B115-B114)/B114-'tassi 1 mese'!$D117</f>
        <v>-6.2966989532885487</v>
      </c>
      <c r="M115" s="18">
        <f>12*(C115-C114)/C114-'tassi 1 mese'!$D117</f>
        <v>-5.7978526970954363</v>
      </c>
      <c r="N115" s="18">
        <f>12*(D115-D114)/D114-'tassi 1 mese'!$D117</f>
        <v>-4.1577039489240946</v>
      </c>
      <c r="O115" s="18">
        <f>12*(E115-E114)/E114-'tassi 1 mese'!$D117</f>
        <v>-5.2447451868629669</v>
      </c>
      <c r="P115" s="18">
        <f>12*(F115-F114)/F114-'tassi 1 mese'!$D117</f>
        <v>-5.17</v>
      </c>
      <c r="Q115" s="18">
        <f>12*(G115-G114)/G114-'tassi 1 mese'!$D117</f>
        <v>-1.0945283018867924</v>
      </c>
      <c r="R115" s="18">
        <f>12*(H115-H114)/H114-'tassi 1 mese'!$D117</f>
        <v>-4.5969321633479572</v>
      </c>
      <c r="S115" s="18">
        <f>12*(I115-I114)/I114-'tassi 1 mese'!$D117</f>
        <v>-4.9577848678213314</v>
      </c>
      <c r="T115" s="18">
        <f>12*(J115-J114)/J114-'tassi 1 mese'!$D117</f>
        <v>-4.3128571428571432</v>
      </c>
      <c r="U115" s="18">
        <f>12*(K115-K114)/K114-'tassi 1 mese'!$D117</f>
        <v>-5.17</v>
      </c>
    </row>
    <row r="116" spans="1:21" x14ac:dyDescent="0.25">
      <c r="A116" s="1">
        <v>45108</v>
      </c>
      <c r="B116">
        <v>19.402000000000001</v>
      </c>
      <c r="C116">
        <v>458.15989999999999</v>
      </c>
      <c r="D116">
        <v>197.01</v>
      </c>
      <c r="E116">
        <v>18.45</v>
      </c>
      <c r="F116">
        <v>8.48</v>
      </c>
      <c r="G116">
        <v>24.6</v>
      </c>
      <c r="H116">
        <v>126.31</v>
      </c>
      <c r="I116">
        <v>222.91</v>
      </c>
      <c r="J116">
        <v>2.33</v>
      </c>
      <c r="K116">
        <v>48.465000000000003</v>
      </c>
      <c r="L116" s="18">
        <f>12*(B116-B115)/B115-'tassi 1 mese'!$D118</f>
        <v>-7.2444827586206895</v>
      </c>
      <c r="M116" s="18">
        <f>12*(C116-C115)/C115-'tassi 1 mese'!$D118</f>
        <v>-4.7422726961756858</v>
      </c>
      <c r="N116" s="18">
        <f>12*(D116-D115)/D115-'tassi 1 mese'!$D118</f>
        <v>-4.3915957040833025</v>
      </c>
      <c r="O116" s="18">
        <f>12*(E116-E115)/E115-'tassi 1 mese'!$D118</f>
        <v>-4.6646153846153862</v>
      </c>
      <c r="P116" s="18">
        <f>12*(F116-F115)/F115-'tassi 1 mese'!$D118</f>
        <v>-5.28</v>
      </c>
      <c r="Q116" s="18">
        <f>12*(G116-G115)/G115-'tassi 1 mese'!$D118</f>
        <v>-6.8856338028169004</v>
      </c>
      <c r="R116" s="18">
        <f>12*(H116-H115)/H115-'tassi 1 mese'!$D118</f>
        <v>-5.0741697535835089</v>
      </c>
      <c r="S116" s="18">
        <f>12*(I116-I115)/I115-'tassi 1 mese'!$D118</f>
        <v>-5.2998853457542108</v>
      </c>
      <c r="T116" s="18">
        <f>12*(J116-J115)/J115-'tassi 1 mese'!$D118</f>
        <v>-4.8533333333333335</v>
      </c>
      <c r="U116" s="18">
        <f>12*(K116-K115)/K115-'tassi 1 mese'!$D118</f>
        <v>-5.2514581178903823</v>
      </c>
    </row>
    <row r="117" spans="1:21" x14ac:dyDescent="0.25">
      <c r="A117" s="1">
        <v>45139</v>
      </c>
      <c r="B117">
        <v>17.402000000000001</v>
      </c>
      <c r="C117">
        <v>448.1499</v>
      </c>
      <c r="D117">
        <v>191.59</v>
      </c>
      <c r="E117">
        <v>19.309999999999999</v>
      </c>
      <c r="F117">
        <v>8.48</v>
      </c>
      <c r="G117">
        <v>20.399999999999999</v>
      </c>
      <c r="H117">
        <v>132.31</v>
      </c>
      <c r="I117">
        <v>211.4</v>
      </c>
      <c r="J117">
        <v>2.2250000000000001</v>
      </c>
      <c r="K117">
        <v>48.5</v>
      </c>
      <c r="L117" s="18">
        <f>12*(B117-B116)/B116-'tassi 1 mese'!$D119</f>
        <v>-6.5569858777445624</v>
      </c>
      <c r="M117" s="18">
        <f>12*(C117-C116)/C116-'tassi 1 mese'!$D119</f>
        <v>-5.5821792086125388</v>
      </c>
      <c r="N117" s="18">
        <f>12*(D117-D116)/D116-'tassi 1 mese'!$D119</f>
        <v>-5.6501355261154256</v>
      </c>
      <c r="O117" s="18">
        <f>12*(E117-E116)/E116-'tassi 1 mese'!$D119</f>
        <v>-4.760650406504066</v>
      </c>
      <c r="P117" s="18">
        <f>12*(F117-F116)/F116-'tassi 1 mese'!$D119</f>
        <v>-5.32</v>
      </c>
      <c r="Q117" s="18">
        <f>12*(G117-G116)/G116-'tassi 1 mese'!$D119</f>
        <v>-7.3687804878048802</v>
      </c>
      <c r="R117" s="18">
        <f>12*(H117-H116)/H116-'tassi 1 mese'!$D119</f>
        <v>-4.7499738738025492</v>
      </c>
      <c r="S117" s="18">
        <f>12*(I117-I116)/I116-'tassi 1 mese'!$D119</f>
        <v>-5.9396222690772058</v>
      </c>
      <c r="T117" s="18">
        <f>12*(J117-J116)/J116-'tassi 1 mese'!$D119</f>
        <v>-5.8607725321888413</v>
      </c>
      <c r="U117" s="18">
        <f>12*(K117-K116)/K116-'tassi 1 mese'!$D119</f>
        <v>-5.3113339523367387</v>
      </c>
    </row>
    <row r="118" spans="1:21" x14ac:dyDescent="0.25">
      <c r="A118" s="1">
        <v>45170</v>
      </c>
      <c r="B118">
        <v>10.231999999999999</v>
      </c>
      <c r="C118">
        <v>435.62009999999998</v>
      </c>
      <c r="D118">
        <v>201.2</v>
      </c>
      <c r="E118">
        <v>20.47</v>
      </c>
      <c r="F118">
        <v>8.48</v>
      </c>
      <c r="G118">
        <v>16.22</v>
      </c>
      <c r="H118">
        <v>133.13999999999999</v>
      </c>
      <c r="I118">
        <v>205.15</v>
      </c>
      <c r="J118">
        <v>2.12</v>
      </c>
      <c r="K118">
        <v>48.5</v>
      </c>
      <c r="L118" s="18">
        <f>12*(B118-B117)/B117-'tassi 1 mese'!$D120</f>
        <v>-10.264259280542468</v>
      </c>
      <c r="M118" s="18">
        <f>12*(C118-C117)/C117-'tassi 1 mese'!$D120</f>
        <v>-5.6555073826860172</v>
      </c>
      <c r="N118" s="18">
        <f>12*(D118-D117)/D117-'tassi 1 mese'!$D120</f>
        <v>-4.7180896706508699</v>
      </c>
      <c r="O118" s="18">
        <f>12*(E118-E117)/E117-'tassi 1 mese'!$D120</f>
        <v>-4.5991299844640086</v>
      </c>
      <c r="P118" s="18">
        <f>12*(F118-F117)/F117-'tassi 1 mese'!$D120</f>
        <v>-5.32</v>
      </c>
      <c r="Q118" s="18">
        <f>12*(G118-G117)/G117-'tassi 1 mese'!$D120</f>
        <v>-7.7788235294117651</v>
      </c>
      <c r="R118" s="18">
        <f>12*(H118-H117)/H117-'tassi 1 mese'!$D120</f>
        <v>-5.2447222432166898</v>
      </c>
      <c r="S118" s="18">
        <f>12*(I118-I117)/I117-'tassi 1 mese'!$D120</f>
        <v>-5.6747776726584673</v>
      </c>
      <c r="T118" s="18">
        <f>12*(J118-J117)/J117-'tassi 1 mese'!$D120</f>
        <v>-5.8862921348314607</v>
      </c>
      <c r="U118" s="18">
        <f>12*(K118-K117)/K117-'tassi 1 mese'!$D120</f>
        <v>-5.32</v>
      </c>
    </row>
    <row r="119" spans="1:21" x14ac:dyDescent="0.25">
      <c r="A119" s="1">
        <v>45200</v>
      </c>
      <c r="B119">
        <v>9</v>
      </c>
      <c r="C119">
        <v>442.22</v>
      </c>
      <c r="D119">
        <v>198.86</v>
      </c>
      <c r="E119">
        <v>17.53</v>
      </c>
      <c r="F119">
        <v>8.48</v>
      </c>
      <c r="G119">
        <v>7.08</v>
      </c>
      <c r="H119">
        <v>133.47999999999999</v>
      </c>
      <c r="I119">
        <v>202.34</v>
      </c>
      <c r="J119">
        <v>2.4</v>
      </c>
      <c r="K119">
        <v>39.562399999999997</v>
      </c>
      <c r="L119" s="18">
        <f>12*(B119-B118)/B118-'tassi 1 mese'!$D121</f>
        <v>-6.7748788115715399</v>
      </c>
      <c r="M119" s="18">
        <f>12*(C119-C118)/C118-'tassi 1 mese'!$D121</f>
        <v>-5.1481929621704774</v>
      </c>
      <c r="N119" s="18">
        <f>12*(D119-D118)/D118-'tassi 1 mese'!$D121</f>
        <v>-5.4695626242544719</v>
      </c>
      <c r="O119" s="18">
        <f>12*(E119-E118)/E118-'tassi 1 mese'!$D121</f>
        <v>-7.0534978016609662</v>
      </c>
      <c r="P119" s="18">
        <f>12*(F119-F118)/F118-'tassi 1 mese'!$D121</f>
        <v>-5.33</v>
      </c>
      <c r="Q119" s="18">
        <f>12*(G119-G118)/G118-'tassi 1 mese'!$D121</f>
        <v>-12.092022194821208</v>
      </c>
      <c r="R119" s="18">
        <f>12*(H119-H118)/H118-'tassi 1 mese'!$D121</f>
        <v>-5.2993555655700764</v>
      </c>
      <c r="S119" s="18">
        <f>12*(I119-I118)/I118-'tassi 1 mese'!$D121</f>
        <v>-5.4943675359493058</v>
      </c>
      <c r="T119" s="18">
        <f>12*(J119-J118)/J118-'tassi 1 mese'!$D121</f>
        <v>-3.7450943396226428</v>
      </c>
      <c r="U119" s="18">
        <f>12*(K119-K118)/K118-'tassi 1 mese'!$D121</f>
        <v>-7.5413649484536087</v>
      </c>
    </row>
    <row r="120" spans="1:21" x14ac:dyDescent="0.25">
      <c r="A120" s="1">
        <v>45231</v>
      </c>
      <c r="B120">
        <v>9.1999999999999993</v>
      </c>
      <c r="C120">
        <v>468.26</v>
      </c>
      <c r="D120">
        <v>198.14</v>
      </c>
      <c r="E120">
        <v>16.63</v>
      </c>
      <c r="F120">
        <v>8.48</v>
      </c>
      <c r="G120">
        <v>5.9260000000000002</v>
      </c>
      <c r="H120">
        <v>136.26</v>
      </c>
      <c r="I120">
        <v>194.53</v>
      </c>
      <c r="J120">
        <v>2.14</v>
      </c>
      <c r="K120">
        <v>39.562399999999997</v>
      </c>
      <c r="L120" s="18">
        <f>12*(B120-B119)/B119-'tassi 1 mese'!$D122</f>
        <v>-4.9833333333333343</v>
      </c>
      <c r="M120" s="18">
        <f>12*(C120-C119)/C119-'tassi 1 mese'!$D122</f>
        <v>-4.5433833838361011</v>
      </c>
      <c r="N120" s="18">
        <f>12*(D120-D119)/D119-'tassi 1 mese'!$D122</f>
        <v>-5.2934476516142022</v>
      </c>
      <c r="O120" s="18">
        <f>12*(E120-E119)/E119-'tassi 1 mese'!$D122</f>
        <v>-5.8660867084997159</v>
      </c>
      <c r="P120" s="18">
        <f>12*(F120-F119)/F119-'tassi 1 mese'!$D122</f>
        <v>-5.25</v>
      </c>
      <c r="Q120" s="18">
        <f>12*(G120-G119)/G119-'tassi 1 mese'!$D122</f>
        <v>-7.2059322033898301</v>
      </c>
      <c r="R120" s="18">
        <f>12*(H120-H119)/H119-'tassi 1 mese'!$D122</f>
        <v>-5.0000749175906503</v>
      </c>
      <c r="S120" s="18">
        <f>12*(I120-I119)/I119-'tassi 1 mese'!$D122</f>
        <v>-5.7131807848176335</v>
      </c>
      <c r="T120" s="18">
        <f>12*(J120-J119)/J119-'tassi 1 mese'!$D122</f>
        <v>-6.5499999999999989</v>
      </c>
      <c r="U120" s="18">
        <f>12*(K120-K119)/K119-'tassi 1 mese'!$D122</f>
        <v>-5.25</v>
      </c>
    </row>
    <row r="121" spans="1:21" x14ac:dyDescent="0.25">
      <c r="A121" s="1">
        <v>45261</v>
      </c>
      <c r="B121">
        <v>7.6</v>
      </c>
      <c r="C121">
        <v>479.84010000000001</v>
      </c>
      <c r="D121">
        <v>227.92</v>
      </c>
      <c r="E121">
        <v>22.34</v>
      </c>
      <c r="F121">
        <v>8.48</v>
      </c>
      <c r="G121">
        <v>6.77</v>
      </c>
      <c r="H121">
        <v>145.83000000000001</v>
      </c>
      <c r="I121">
        <v>217.77</v>
      </c>
      <c r="J121">
        <v>2.16</v>
      </c>
      <c r="K121">
        <v>39.562399999999997</v>
      </c>
      <c r="L121" s="18">
        <f>12*(B121-B120)/B120-'tassi 1 mese'!$D123</f>
        <v>-7.2869565217391301</v>
      </c>
      <c r="M121" s="18">
        <f>12*(C121-C120)/C120-'tassi 1 mese'!$D123</f>
        <v>-4.9032392260709861</v>
      </c>
      <c r="N121" s="18">
        <f>12*(D121-D120)/D120-'tassi 1 mese'!$D123</f>
        <v>-3.3964267689512466</v>
      </c>
      <c r="O121" s="18">
        <f>12*(E121-E120)/E120-'tassi 1 mese'!$D123</f>
        <v>-1.0797354179194221</v>
      </c>
      <c r="P121" s="18">
        <f>12*(F121-F120)/F120-'tassi 1 mese'!$D123</f>
        <v>-5.2</v>
      </c>
      <c r="Q121" s="18">
        <f>12*(G121-G120)/G120-'tassi 1 mese'!$D123</f>
        <v>-3.4909213634829577</v>
      </c>
      <c r="R121" s="18">
        <f>12*(H121-H120)/H120-'tassi 1 mese'!$D123</f>
        <v>-4.3571994715984133</v>
      </c>
      <c r="S121" s="18">
        <f>12*(I121-I120)/I120-'tassi 1 mese'!$D123</f>
        <v>-3.7663907880532559</v>
      </c>
      <c r="T121" s="18">
        <f>12*(J121-J120)/J120-'tassi 1 mese'!$D123</f>
        <v>-5.0878504672897193</v>
      </c>
      <c r="U121" s="18">
        <f>12*(K121-K120)/K120-'tassi 1 mese'!$D123</f>
        <v>-5.2</v>
      </c>
    </row>
    <row r="122" spans="1:21" x14ac:dyDescent="0.25">
      <c r="A122" s="1">
        <v>45292</v>
      </c>
      <c r="B122">
        <v>7.7240000000000002</v>
      </c>
      <c r="C122">
        <v>468.13990000000001</v>
      </c>
      <c r="D122">
        <v>215.32</v>
      </c>
      <c r="E122">
        <v>22.82</v>
      </c>
      <c r="F122">
        <v>8.48</v>
      </c>
      <c r="G122">
        <v>5.0599999999999996</v>
      </c>
      <c r="H122">
        <v>152.79</v>
      </c>
      <c r="I122">
        <v>205.96</v>
      </c>
      <c r="J122">
        <v>2.1800000000000002</v>
      </c>
      <c r="K122">
        <v>55.5</v>
      </c>
      <c r="L122" s="18">
        <f>12*(B122-B121)/B121-'tassi 1 mese'!$D124</f>
        <v>-5.0242105263157883</v>
      </c>
      <c r="M122" s="18">
        <f>12*(C122-C121)/C121-'tassi 1 mese'!$D124</f>
        <v>-5.5126024731988839</v>
      </c>
      <c r="N122" s="18">
        <f>12*(D122-D121)/D121-'tassi 1 mese'!$D124</f>
        <v>-5.8833906633906627</v>
      </c>
      <c r="O122" s="18">
        <f>12*(E122-E121)/E121-'tassi 1 mese'!$D124</f>
        <v>-4.9621665174574749</v>
      </c>
      <c r="P122" s="18">
        <f>12*(F122-F121)/F121-'tassi 1 mese'!$D124</f>
        <v>-5.22</v>
      </c>
      <c r="Q122" s="18">
        <f>12*(G122-G121)/G121-'tassi 1 mese'!$D124</f>
        <v>-8.2510192023633682</v>
      </c>
      <c r="R122" s="18">
        <f>12*(H122-H121)/H121-'tassi 1 mese'!$D124</f>
        <v>-4.6472783377905795</v>
      </c>
      <c r="S122" s="18">
        <f>12*(I122-I121)/I121-'tassi 1 mese'!$D124</f>
        <v>-5.8707783441245347</v>
      </c>
      <c r="T122" s="18">
        <f>12*(J122-J121)/J121-'tassi 1 mese'!$D124</f>
        <v>-5.1088888888888881</v>
      </c>
      <c r="U122" s="18">
        <f>12*(K122-K121)/K121-'tassi 1 mese'!$D124</f>
        <v>-0.38583422643722187</v>
      </c>
    </row>
    <row r="123" spans="1:21" x14ac:dyDescent="0.25">
      <c r="A123" s="1">
        <v>45323</v>
      </c>
      <c r="B123">
        <v>4.3978000000000002</v>
      </c>
      <c r="C123">
        <v>446.22</v>
      </c>
      <c r="D123">
        <v>249.07</v>
      </c>
      <c r="E123">
        <v>23.92</v>
      </c>
      <c r="F123">
        <v>8.48</v>
      </c>
      <c r="G123">
        <v>4.5999999999999996</v>
      </c>
      <c r="H123">
        <v>161.99</v>
      </c>
      <c r="I123">
        <v>200.25</v>
      </c>
      <c r="J123">
        <v>2.19</v>
      </c>
      <c r="K123">
        <v>55.5</v>
      </c>
      <c r="L123" s="18">
        <f>12*(B123-B122)/B122-'tassi 1 mese'!$D125</f>
        <v>-10.417581563956499</v>
      </c>
      <c r="M123" s="18">
        <f>12*(C123-C122)/C122-'tassi 1 mese'!$D125</f>
        <v>-5.8118807540224617</v>
      </c>
      <c r="N123" s="18">
        <f>12*(D123-D122)/D122-'tassi 1 mese'!$D125</f>
        <v>-3.3690785807170722</v>
      </c>
      <c r="O123" s="18">
        <f>12*(E123-E122)/E122-'tassi 1 mese'!$D125</f>
        <v>-4.6715600350569666</v>
      </c>
      <c r="P123" s="18">
        <f>12*(F123-F122)/F122-'tassi 1 mese'!$D125</f>
        <v>-5.25</v>
      </c>
      <c r="Q123" s="18">
        <f>12*(G123-G122)/G122-'tassi 1 mese'!$D125</f>
        <v>-6.3409090909090908</v>
      </c>
      <c r="R123" s="18">
        <f>12*(H123-H122)/H122-'tassi 1 mese'!$D125</f>
        <v>-4.5274396230119756</v>
      </c>
      <c r="S123" s="18">
        <f>12*(I123-I122)/I122-'tassi 1 mese'!$D125</f>
        <v>-5.5826859584385318</v>
      </c>
      <c r="T123" s="18">
        <f>12*(J123-J122)/J122-'tassi 1 mese'!$D125</f>
        <v>-5.1949541284403677</v>
      </c>
      <c r="U123" s="18">
        <f>12*(K123-K122)/K122-'tassi 1 mese'!$D125</f>
        <v>-5.25</v>
      </c>
    </row>
    <row r="124" spans="1:21" x14ac:dyDescent="0.25">
      <c r="A124" s="1">
        <v>45352</v>
      </c>
      <c r="B124">
        <v>3.42</v>
      </c>
      <c r="C124">
        <v>454.8999</v>
      </c>
      <c r="D124">
        <v>256.75</v>
      </c>
      <c r="E124">
        <v>21.83</v>
      </c>
      <c r="F124">
        <v>8.48</v>
      </c>
      <c r="G124">
        <v>3.766</v>
      </c>
      <c r="H124">
        <v>158.05000000000001</v>
      </c>
      <c r="I124">
        <v>195.23</v>
      </c>
      <c r="J124">
        <v>2.15</v>
      </c>
      <c r="K124">
        <v>56.81</v>
      </c>
      <c r="L124" s="18">
        <f>12*(B124-B123)/B123-'tassi 1 mese'!$D126</f>
        <v>-7.8980613033789631</v>
      </c>
      <c r="M124" s="18">
        <f>12*(C124-C123)/C123-'tassi 1 mese'!$D126</f>
        <v>-4.9965752319483672</v>
      </c>
      <c r="N124" s="18">
        <f>12*(D124-D123)/D123-'tassi 1 mese'!$D126</f>
        <v>-4.8599835387642027</v>
      </c>
      <c r="O124" s="18">
        <f>12*(E124-E123)/E123-'tassi 1 mese'!$D126</f>
        <v>-6.2784949832775938</v>
      </c>
      <c r="P124" s="18">
        <f>12*(F124-F123)/F123-'tassi 1 mese'!$D126</f>
        <v>-5.23</v>
      </c>
      <c r="Q124" s="18">
        <f>12*(G124-G123)/G123-'tassi 1 mese'!$D126</f>
        <v>-7.405652173913043</v>
      </c>
      <c r="R124" s="18">
        <f>12*(H124-H123)/H123-'tassi 1 mese'!$D126</f>
        <v>-5.521869868510402</v>
      </c>
      <c r="S124" s="18">
        <f>12*(I124-I123)/I123-'tassi 1 mese'!$D126</f>
        <v>-5.5308239700374546</v>
      </c>
      <c r="T124" s="18">
        <f>12*(J124-J123)/J123-'tassi 1 mese'!$D126</f>
        <v>-5.4491780821917812</v>
      </c>
      <c r="U124" s="18">
        <f>12*(K124-K123)/K123-'tassi 1 mese'!$D126</f>
        <v>-4.9467567567567565</v>
      </c>
    </row>
    <row r="125" spans="1:21" x14ac:dyDescent="0.25">
      <c r="A125" s="1">
        <v>45383</v>
      </c>
      <c r="B125">
        <v>3.38</v>
      </c>
      <c r="C125">
        <v>471.3501</v>
      </c>
      <c r="D125">
        <v>247.67</v>
      </c>
      <c r="E125">
        <v>22.31</v>
      </c>
      <c r="F125">
        <v>8.48</v>
      </c>
      <c r="G125">
        <v>2.91</v>
      </c>
      <c r="H125">
        <v>164.28</v>
      </c>
      <c r="I125">
        <v>189.34</v>
      </c>
      <c r="J125">
        <v>2.06</v>
      </c>
      <c r="K125">
        <v>56.81</v>
      </c>
      <c r="L125" s="18">
        <f>12*(B125-B124)/B124-'tassi 1 mese'!$D127</f>
        <v>-5.3903508771929829</v>
      </c>
      <c r="M125" s="18">
        <f>12*(C125-C124)/C124-'tassi 1 mese'!$D127</f>
        <v>-4.8160531031112557</v>
      </c>
      <c r="N125" s="18">
        <f>12*(D125-D124)/D124-'tassi 1 mese'!$D127</f>
        <v>-5.6743816942551124</v>
      </c>
      <c r="O125" s="18">
        <f>12*(E125-E124)/E124-'tassi 1 mese'!$D127</f>
        <v>-4.9861429225836007</v>
      </c>
      <c r="P125" s="18">
        <f>12*(F125-F124)/F124-'tassi 1 mese'!$D127</f>
        <v>-5.25</v>
      </c>
      <c r="Q125" s="18">
        <f>12*(G125-G124)/G124-'tassi 1 mese'!$D127</f>
        <v>-7.9775624004248531</v>
      </c>
      <c r="R125" s="18">
        <f>12*(H125-H124)/H124-'tassi 1 mese'!$D127</f>
        <v>-4.7769851312875682</v>
      </c>
      <c r="S125" s="18">
        <f>12*(I125-I124)/I124-'tassi 1 mese'!$D127</f>
        <v>-5.6120345233826763</v>
      </c>
      <c r="T125" s="18">
        <f>12*(J125-J124)/J124-'tassi 1 mese'!$D127</f>
        <v>-5.7523255813953478</v>
      </c>
      <c r="U125" s="18">
        <f>12*(K125-K124)/K124-'tassi 1 mese'!$D127</f>
        <v>-5.25</v>
      </c>
    </row>
    <row r="126" spans="1:21" x14ac:dyDescent="0.25">
      <c r="A126" s="1">
        <v>45413</v>
      </c>
      <c r="B126">
        <v>4.1500000000000004</v>
      </c>
      <c r="C126">
        <v>486.37009999999998</v>
      </c>
      <c r="D126">
        <v>207.77</v>
      </c>
      <c r="E126">
        <v>19.95</v>
      </c>
      <c r="F126">
        <v>8.48</v>
      </c>
      <c r="G126">
        <v>1.71</v>
      </c>
      <c r="H126">
        <v>148.97</v>
      </c>
      <c r="I126">
        <v>171.08</v>
      </c>
      <c r="J126">
        <v>1.91</v>
      </c>
      <c r="K126">
        <v>56.81</v>
      </c>
      <c r="L126" s="18">
        <f>12*(B126-B125)/B125-'tassi 1 mese'!$D128</f>
        <v>-2.5162721893491109</v>
      </c>
      <c r="M126" s="18">
        <f>12*(C126-C125)/C125-'tassi 1 mese'!$D128</f>
        <v>-4.8676090765653814</v>
      </c>
      <c r="N126" s="18">
        <f>12*(D126-D125)/D125-'tassi 1 mese'!$D128</f>
        <v>-7.1832175879194082</v>
      </c>
      <c r="O126" s="18">
        <f>12*(E126-E125)/E125-'tassi 1 mese'!$D128</f>
        <v>-6.5193859255939035</v>
      </c>
      <c r="P126" s="18">
        <f>12*(F126-F125)/F125-'tassi 1 mese'!$D128</f>
        <v>-5.25</v>
      </c>
      <c r="Q126" s="18">
        <f>12*(G126-G125)/G125-'tassi 1 mese'!$D128</f>
        <v>-10.198453608247423</v>
      </c>
      <c r="R126" s="18">
        <f>12*(H126-H125)/H125-'tassi 1 mese'!$D128</f>
        <v>-6.3683345507669831</v>
      </c>
      <c r="S126" s="18">
        <f>12*(I126-I125)/I125-'tassi 1 mese'!$D128</f>
        <v>-6.4072831942537229</v>
      </c>
      <c r="T126" s="18">
        <f>12*(J126-J125)/J125-'tassi 1 mese'!$D128</f>
        <v>-6.1237864077669908</v>
      </c>
      <c r="U126" s="18">
        <f>12*(K126-K125)/K125-'tassi 1 mese'!$D128</f>
        <v>-5.25</v>
      </c>
    </row>
    <row r="127" spans="1:21" x14ac:dyDescent="0.25">
      <c r="A127" s="1">
        <v>45444</v>
      </c>
      <c r="B127">
        <v>3.91</v>
      </c>
      <c r="C127">
        <v>449.33010000000002</v>
      </c>
      <c r="D127">
        <v>214.5</v>
      </c>
      <c r="E127">
        <v>24.81</v>
      </c>
      <c r="F127">
        <v>8.48</v>
      </c>
      <c r="G127">
        <v>1.54</v>
      </c>
      <c r="H127">
        <v>151.07</v>
      </c>
      <c r="I127">
        <v>174.93</v>
      </c>
      <c r="J127">
        <v>1.8</v>
      </c>
      <c r="K127">
        <v>46.86</v>
      </c>
      <c r="L127" s="18">
        <f>12*(B127-B126)/B126-'tassi 1 mese'!$D129</f>
        <v>-5.9139759036144586</v>
      </c>
      <c r="M127" s="18">
        <f>12*(C127-C126)/C126-'tassi 1 mese'!$D129</f>
        <v>-6.1338719670473152</v>
      </c>
      <c r="N127" s="18">
        <f>12*(D127-D126)/D126-'tassi 1 mese'!$D129</f>
        <v>-4.831300957789864</v>
      </c>
      <c r="O127" s="18">
        <f>12*(E127-E126)/E126-'tassi 1 mese'!$D129</f>
        <v>-2.2966917293233085</v>
      </c>
      <c r="P127" s="18">
        <f>12*(F127-F126)/F126-'tassi 1 mese'!$D129</f>
        <v>-5.22</v>
      </c>
      <c r="Q127" s="18">
        <f>12*(G127-G126)/G126-'tassi 1 mese'!$D129</f>
        <v>-6.4129824561403499</v>
      </c>
      <c r="R127" s="18">
        <f>12*(H127-H126)/H126-'tassi 1 mese'!$D129</f>
        <v>-5.0508384238437269</v>
      </c>
      <c r="S127" s="18">
        <f>12*(I127-I126)/I126-'tassi 1 mese'!$D129</f>
        <v>-4.9499509001636666</v>
      </c>
      <c r="T127" s="18">
        <f>12*(J127-J126)/J126-'tassi 1 mese'!$D129</f>
        <v>-5.9110994764397899</v>
      </c>
      <c r="U127" s="18">
        <f>12*(K127-K126)/K126-'tassi 1 mese'!$D129</f>
        <v>-7.3217426509417365</v>
      </c>
    </row>
    <row r="128" spans="1:21" x14ac:dyDescent="0.25">
      <c r="A128" s="1">
        <v>45474</v>
      </c>
      <c r="B128">
        <v>3.8919999999999999</v>
      </c>
      <c r="C128">
        <v>435</v>
      </c>
      <c r="D128">
        <v>245.28</v>
      </c>
      <c r="E128">
        <v>24.89</v>
      </c>
      <c r="F128">
        <v>8.48</v>
      </c>
      <c r="G128">
        <v>1.08</v>
      </c>
      <c r="H128">
        <v>165</v>
      </c>
      <c r="I128">
        <v>175.71</v>
      </c>
      <c r="J128">
        <v>1.62</v>
      </c>
      <c r="K128">
        <v>46.86</v>
      </c>
      <c r="L128" s="18">
        <f>12*(B128-B127)/B127-'tassi 1 mese'!$D130</f>
        <v>-5.2052429667519196</v>
      </c>
      <c r="M128" s="18">
        <f>12*(C128-C127)/C127-'tassi 1 mese'!$D130</f>
        <v>-5.5327057212503687</v>
      </c>
      <c r="N128" s="18">
        <f>12*(D128-D127)/D127-'tassi 1 mese'!$D130</f>
        <v>-3.4280419580419581</v>
      </c>
      <c r="O128" s="18">
        <f>12*(E128-E127)/E127-'tassi 1 mese'!$D130</f>
        <v>-5.1113059250302291</v>
      </c>
      <c r="P128" s="18">
        <f>12*(F128-F127)/F127-'tassi 1 mese'!$D130</f>
        <v>-5.15</v>
      </c>
      <c r="Q128" s="18">
        <f>12*(G128-G127)/G127-'tassi 1 mese'!$D130</f>
        <v>-8.7344155844155846</v>
      </c>
      <c r="R128" s="18">
        <f>12*(H128-H127)/H127-'tassi 1 mese'!$D130</f>
        <v>-4.0434930826769042</v>
      </c>
      <c r="S128" s="18">
        <f>12*(I128-I127)/I127-'tassi 1 mese'!$D130</f>
        <v>-5.096492882867433</v>
      </c>
      <c r="T128" s="18">
        <f>12*(J128-J127)/J127-'tassi 1 mese'!$D130</f>
        <v>-6.35</v>
      </c>
      <c r="U128" s="18">
        <f>12*(K128-K127)/K127-'tassi 1 mese'!$D130</f>
        <v>-5.15</v>
      </c>
    </row>
    <row r="129" spans="1:21" x14ac:dyDescent="0.25">
      <c r="A129" s="1">
        <v>45505</v>
      </c>
      <c r="B129">
        <v>4.26</v>
      </c>
      <c r="C129">
        <v>493.36009999999999</v>
      </c>
      <c r="D129">
        <v>250.66</v>
      </c>
      <c r="E129">
        <v>25.24</v>
      </c>
      <c r="F129">
        <v>8.48</v>
      </c>
      <c r="G129">
        <v>1.101</v>
      </c>
      <c r="H129">
        <v>181.82</v>
      </c>
      <c r="I129">
        <v>188.37</v>
      </c>
      <c r="J129">
        <v>1.58</v>
      </c>
      <c r="K129">
        <v>41.46</v>
      </c>
      <c r="L129" s="18">
        <f>12*(B129-B128)/B128-'tassi 1 mese'!$D131</f>
        <v>-3.8453648509763623</v>
      </c>
      <c r="M129" s="18">
        <f>12*(C129-C128)/C128-'tassi 1 mese'!$D131</f>
        <v>-3.3700662068965528</v>
      </c>
      <c r="N129" s="18">
        <f>12*(D129-D128)/D128-'tassi 1 mese'!$D131</f>
        <v>-4.7167906066536212</v>
      </c>
      <c r="O129" s="18">
        <f>12*(E129-E128)/E128-'tassi 1 mese'!$D131</f>
        <v>-4.8112575331458434</v>
      </c>
      <c r="P129" s="18">
        <f>12*(F129-F128)/F128-'tassi 1 mese'!$D131</f>
        <v>-4.9800000000000004</v>
      </c>
      <c r="Q129" s="18">
        <f>12*(G129-G128)/G128-'tassi 1 mese'!$D131</f>
        <v>-4.7466666666666679</v>
      </c>
      <c r="R129" s="18">
        <f>12*(H129-H128)/H128-'tassi 1 mese'!$D131</f>
        <v>-3.7567272727272734</v>
      </c>
      <c r="S129" s="18">
        <f>12*(I129-I128)/I128-'tassi 1 mese'!$D131</f>
        <v>-4.1153935461840536</v>
      </c>
      <c r="T129" s="18">
        <f>12*(J129-J128)/J128-'tassi 1 mese'!$D131</f>
        <v>-5.2762962962962972</v>
      </c>
      <c r="U129" s="18">
        <f>12*(K129-K128)/K128-'tassi 1 mese'!$D131</f>
        <v>-6.3628425096030732</v>
      </c>
    </row>
    <row r="130" spans="1:21" x14ac:dyDescent="0.25">
      <c r="A130" s="1">
        <v>45536</v>
      </c>
      <c r="B130">
        <v>2.69</v>
      </c>
      <c r="C130">
        <v>523.21</v>
      </c>
      <c r="D130">
        <v>264.42989999999998</v>
      </c>
      <c r="E130">
        <v>26.46</v>
      </c>
      <c r="F130">
        <v>8.48</v>
      </c>
      <c r="G130">
        <v>1.23</v>
      </c>
      <c r="H130">
        <v>192.5</v>
      </c>
      <c r="I130">
        <v>183.9</v>
      </c>
      <c r="J130">
        <v>1.6236999999999999</v>
      </c>
      <c r="K130">
        <v>50.77</v>
      </c>
      <c r="L130" s="18">
        <f>12*(B130-B129)/B129-'tassi 1 mese'!$D132</f>
        <v>-8.9425352112676038</v>
      </c>
      <c r="M130" s="18">
        <f>12*(C130-C129)/C129-'tassi 1 mese'!$D132</f>
        <v>-3.7939607438866645</v>
      </c>
      <c r="N130" s="18">
        <f>12*(D130-D129)/D129-'tassi 1 mese'!$D132</f>
        <v>-3.8607851272640237</v>
      </c>
      <c r="O130" s="18">
        <f>12*(E130-E129)/E129-'tassi 1 mese'!$D132</f>
        <v>-3.9399683042789206</v>
      </c>
      <c r="P130" s="18">
        <f>12*(F130-F129)/F129-'tassi 1 mese'!$D132</f>
        <v>-4.5199999999999996</v>
      </c>
      <c r="Q130" s="18">
        <f>12*(G130-G129)/G129-'tassi 1 mese'!$D132</f>
        <v>-3.1140054495912803</v>
      </c>
      <c r="R130" s="18">
        <f>12*(H130-H129)/H129-'tassi 1 mese'!$D132</f>
        <v>-3.8151270487295119</v>
      </c>
      <c r="S130" s="18">
        <f>12*(I130-I129)/I129-'tassi 1 mese'!$D132</f>
        <v>-4.8047587195413275</v>
      </c>
      <c r="T130" s="18">
        <f>12*(J130-J129)/J129-'tassi 1 mese'!$D132</f>
        <v>-4.1881012658227856</v>
      </c>
      <c r="U130" s="18">
        <f>12*(K130-K129)/K129-'tassi 1 mese'!$D132</f>
        <v>-1.8253545586107083</v>
      </c>
    </row>
    <row r="131" spans="1:21" x14ac:dyDescent="0.25">
      <c r="A131" s="1">
        <v>45566</v>
      </c>
      <c r="B131">
        <v>4.17</v>
      </c>
      <c r="C131">
        <v>543.87990000000002</v>
      </c>
      <c r="D131">
        <v>274.75</v>
      </c>
      <c r="E131">
        <v>27.19</v>
      </c>
      <c r="F131">
        <v>8.48</v>
      </c>
      <c r="G131">
        <v>0.8599</v>
      </c>
      <c r="H131">
        <v>188.99</v>
      </c>
      <c r="I131">
        <v>187.14</v>
      </c>
      <c r="J131">
        <v>1.4</v>
      </c>
      <c r="K131">
        <v>59.080199999999998</v>
      </c>
      <c r="L131" s="18">
        <f>12*(B131-B130)/B130-'tassi 1 mese'!$D133</f>
        <v>2.1622304832713741</v>
      </c>
      <c r="M131" s="18">
        <f>12*(C131-C130)/C130-'tassi 1 mese'!$D133</f>
        <v>-3.9659287857647989</v>
      </c>
      <c r="N131" s="18">
        <f>12*(D131-D130)/D130-'tassi 1 mese'!$D133</f>
        <v>-3.9716671828715278</v>
      </c>
      <c r="O131" s="18">
        <f>12*(E131-E130)/E130-'tassi 1 mese'!$D133</f>
        <v>-4.108934240362812</v>
      </c>
      <c r="P131" s="18">
        <f>12*(F131-F130)/F130-'tassi 1 mese'!$D133</f>
        <v>-4.4400000000000004</v>
      </c>
      <c r="Q131" s="18">
        <f>12*(G131-G130)/G130-'tassi 1 mese'!$D133</f>
        <v>-8.0507317073170732</v>
      </c>
      <c r="R131" s="18">
        <f>12*(H131-H130)/H130-'tassi 1 mese'!$D133</f>
        <v>-4.6588051948051943</v>
      </c>
      <c r="S131" s="18">
        <f>12*(I131-I130)/I130-'tassi 1 mese'!$D133</f>
        <v>-4.2285807504078319</v>
      </c>
      <c r="T131" s="18">
        <f>12*(J131-J130)/J130-'tassi 1 mese'!$D133</f>
        <v>-6.093261070394778</v>
      </c>
      <c r="U131" s="18">
        <f>12*(K131-K130)/K130-'tassi 1 mese'!$D133</f>
        <v>-2.4758006696868247</v>
      </c>
    </row>
    <row r="132" spans="1:21" x14ac:dyDescent="0.25">
      <c r="A132" s="1">
        <v>45597</v>
      </c>
      <c r="B132">
        <v>3.17</v>
      </c>
      <c r="C132">
        <v>506.95</v>
      </c>
      <c r="D132">
        <v>264.3501</v>
      </c>
      <c r="E132">
        <v>28.27</v>
      </c>
      <c r="F132">
        <v>8.48</v>
      </c>
      <c r="G132">
        <v>0.74009999999999998</v>
      </c>
      <c r="H132">
        <v>170.5</v>
      </c>
      <c r="I132">
        <v>176.68</v>
      </c>
      <c r="J132">
        <v>1.28</v>
      </c>
      <c r="K132">
        <v>59.080199999999998</v>
      </c>
      <c r="L132" s="18">
        <f>12*(B132-B131)/B131-'tassi 1 mese'!$D134</f>
        <v>-7.2676978417266183</v>
      </c>
      <c r="M132" s="18">
        <f>12*(C132-C131)/C131-'tassi 1 mese'!$D134</f>
        <v>-5.2048100343476573</v>
      </c>
      <c r="N132" s="18">
        <f>12*(D132-D131)/D131-'tassi 1 mese'!$D134</f>
        <v>-4.8442267515923563</v>
      </c>
      <c r="O132" s="18">
        <f>12*(E132-E131)/E131-'tassi 1 mese'!$D134</f>
        <v>-3.9133541743287976</v>
      </c>
      <c r="P132" s="18">
        <f>12*(F132-F131)/F131-'tassi 1 mese'!$D134</f>
        <v>-4.3899999999999997</v>
      </c>
      <c r="Q132" s="18">
        <f>12*(G132-G131)/G131-'tassi 1 mese'!$D134</f>
        <v>-6.0618223049191764</v>
      </c>
      <c r="R132" s="18">
        <f>12*(H132-H131)/H131-'tassi 1 mese'!$D134</f>
        <v>-5.5640303719773536</v>
      </c>
      <c r="S132" s="18">
        <f>12*(I132-I131)/I131-'tassi 1 mese'!$D134</f>
        <v>-5.0607277973709506</v>
      </c>
      <c r="T132" s="18">
        <f>12*(J132-J131)/J131-'tassi 1 mese'!$D134</f>
        <v>-5.4185714285714273</v>
      </c>
      <c r="U132" s="18">
        <f>12*(K132-K131)/K131-'tassi 1 mese'!$D134</f>
        <v>-4.3899999999999997</v>
      </c>
    </row>
    <row r="133" spans="1:21" x14ac:dyDescent="0.25">
      <c r="A133" s="1">
        <v>45627</v>
      </c>
      <c r="B133">
        <v>3.4</v>
      </c>
      <c r="C133">
        <v>484.75</v>
      </c>
      <c r="D133">
        <v>286.37009999999998</v>
      </c>
      <c r="E133">
        <v>30.93</v>
      </c>
      <c r="F133">
        <v>8.48</v>
      </c>
      <c r="G133">
        <v>0.53039999999999998</v>
      </c>
      <c r="H133">
        <v>182.18</v>
      </c>
      <c r="I133">
        <v>192.49</v>
      </c>
      <c r="J133">
        <v>1.33</v>
      </c>
      <c r="K133">
        <v>59.080199999999998</v>
      </c>
      <c r="L133" s="18">
        <f>12*(B133-B132)/B132-'tassi 1 mese'!$D135</f>
        <v>-3.3593375394321772</v>
      </c>
      <c r="M133" s="18">
        <f>12*(C133-C132)/C132-'tassi 1 mese'!$D135</f>
        <v>-4.755495611007003</v>
      </c>
      <c r="N133" s="18">
        <f>12*(D133-D132)/D132-'tassi 1 mese'!$D135</f>
        <v>-3.2304164931278647</v>
      </c>
      <c r="O133" s="18">
        <f>12*(E133-E132)/E132-'tassi 1 mese'!$D135</f>
        <v>-3.1008878669968167</v>
      </c>
      <c r="P133" s="18">
        <f>12*(F133-F132)/F132-'tassi 1 mese'!$D135</f>
        <v>-4.2300000000000004</v>
      </c>
      <c r="Q133" s="18">
        <f>12*(G133-G132)/G132-'tassi 1 mese'!$D135</f>
        <v>-7.6300810701256587</v>
      </c>
      <c r="R133" s="18">
        <f>12*(H133-H132)/H132-'tassi 1 mese'!$D135</f>
        <v>-3.4079472140762461</v>
      </c>
      <c r="S133" s="18">
        <f>12*(I133-I132)/I132-'tassi 1 mese'!$D135</f>
        <v>-3.1561942494906048</v>
      </c>
      <c r="T133" s="18">
        <f>12*(J133-J132)/J132-'tassi 1 mese'!$D135</f>
        <v>-3.76125</v>
      </c>
      <c r="U133" s="18">
        <f>12*(K133-K132)/K132-'tassi 1 mese'!$D135</f>
        <v>-4.2300000000000004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A37D-42E5-4B06-8842-3F0F47BFE229}">
  <sheetPr codeName="Foglio2"/>
  <dimension ref="A1:M132"/>
  <sheetViews>
    <sheetView workbookViewId="0"/>
  </sheetViews>
  <sheetFormatPr defaultRowHeight="15" x14ac:dyDescent="0.25"/>
  <cols>
    <col min="1" max="1" width="10.7109375" bestFit="1" customWidth="1"/>
    <col min="2" max="2" width="12.7109375" style="2" bestFit="1" customWidth="1"/>
    <col min="3" max="3" width="12.28515625" style="2" bestFit="1" customWidth="1"/>
    <col min="4" max="4" width="14.140625" style="2" bestFit="1" customWidth="1"/>
    <col min="5" max="5" width="12" style="2" bestFit="1" customWidth="1"/>
    <col min="6" max="6" width="11.5703125" style="2" bestFit="1" customWidth="1"/>
    <col min="7" max="7" width="12.28515625" style="2" bestFit="1" customWidth="1"/>
    <col min="8" max="8" width="13.140625" style="2" bestFit="1" customWidth="1"/>
    <col min="9" max="9" width="13.28515625" style="2" bestFit="1" customWidth="1"/>
    <col min="10" max="10" width="12.42578125" style="2" bestFit="1" customWidth="1"/>
    <col min="11" max="11" width="13.85546875" style="2" bestFit="1" customWidth="1"/>
    <col min="12" max="12" width="18.7109375" style="25" bestFit="1" customWidth="1"/>
    <col min="13" max="13" width="12" style="26" bestFit="1" customWidth="1"/>
  </cols>
  <sheetData>
    <row r="1" spans="1:13" ht="15.75" thickBot="1" x14ac:dyDescent="0.3">
      <c r="A1" t="s">
        <v>26</v>
      </c>
      <c r="B1" s="18" t="s">
        <v>30</v>
      </c>
      <c r="C1" s="18" t="s">
        <v>31</v>
      </c>
      <c r="D1" s="18" t="s">
        <v>32</v>
      </c>
      <c r="E1" s="18" t="s">
        <v>33</v>
      </c>
      <c r="F1" s="18" t="s">
        <v>34</v>
      </c>
      <c r="G1" s="18" t="s">
        <v>35</v>
      </c>
      <c r="H1" s="18" t="s">
        <v>36</v>
      </c>
      <c r="I1" s="18" t="s">
        <v>37</v>
      </c>
      <c r="J1" s="18" t="s">
        <v>38</v>
      </c>
      <c r="K1" s="18" t="s">
        <v>39</v>
      </c>
      <c r="L1" s="25" t="s">
        <v>28</v>
      </c>
      <c r="M1" s="27" t="s">
        <v>29</v>
      </c>
    </row>
    <row r="2" spans="1:13" x14ac:dyDescent="0.25">
      <c r="A2" s="5">
        <v>41671</v>
      </c>
      <c r="B2" s="7">
        <v>3.5344194636574282</v>
      </c>
      <c r="C2" s="7">
        <v>-0.1923959514876537</v>
      </c>
      <c r="D2" s="7">
        <v>1.5393769152196106</v>
      </c>
      <c r="E2" s="7">
        <v>-1.4901479785078833</v>
      </c>
      <c r="F2" s="7">
        <v>-0.44473684210526176</v>
      </c>
      <c r="G2" s="7">
        <v>2.9500000000000011</v>
      </c>
      <c r="H2" s="7">
        <v>-0.24888680444657973</v>
      </c>
      <c r="I2" s="7">
        <v>-0.75257611241217803</v>
      </c>
      <c r="J2" s="7">
        <v>0.4816455696202519</v>
      </c>
      <c r="K2" s="15">
        <v>-1.5554852320675099</v>
      </c>
      <c r="L2" s="19">
        <v>-0.50612472160356348</v>
      </c>
      <c r="M2" s="20">
        <v>7.9614312884249638E-2</v>
      </c>
    </row>
    <row r="3" spans="1:13" x14ac:dyDescent="0.25">
      <c r="A3" s="9">
        <v>41699</v>
      </c>
      <c r="B3" s="2">
        <v>-0.28999019999183356</v>
      </c>
      <c r="C3" s="2">
        <v>0.77331125827814517</v>
      </c>
      <c r="D3" s="2">
        <v>1.385959110042094</v>
      </c>
      <c r="E3" s="2">
        <v>0.32005154897152288</v>
      </c>
      <c r="F3" s="2">
        <v>0.11326530612244791</v>
      </c>
      <c r="G3" s="2">
        <v>3.95</v>
      </c>
      <c r="H3" s="2">
        <v>0.67268642598139683</v>
      </c>
      <c r="I3" s="2">
        <v>-0.28240938166311375</v>
      </c>
      <c r="J3" s="2">
        <v>0.31363636363636399</v>
      </c>
      <c r="K3" s="16">
        <v>0.5559826310710827</v>
      </c>
      <c r="L3" s="21">
        <v>0.79477982851329709</v>
      </c>
      <c r="M3" s="22">
        <v>2.7955411119264771E-2</v>
      </c>
    </row>
    <row r="4" spans="1:13" x14ac:dyDescent="0.25">
      <c r="A4" s="9">
        <v>41730</v>
      </c>
      <c r="B4" s="2">
        <v>0.97</v>
      </c>
      <c r="C4" s="2">
        <v>0.26053049082796298</v>
      </c>
      <c r="D4" s="2">
        <v>-0.46179377013963585</v>
      </c>
      <c r="E4" s="2">
        <v>-0.70883123083271937</v>
      </c>
      <c r="F4" s="2">
        <v>-0.80852348993288603</v>
      </c>
      <c r="G4" s="2">
        <v>0.51545454545454539</v>
      </c>
      <c r="H4" s="2">
        <v>0.13416356877323452</v>
      </c>
      <c r="I4" s="2">
        <v>-0.29961406051820871</v>
      </c>
      <c r="J4" s="2">
        <v>0.18176470588235313</v>
      </c>
      <c r="K4" s="16">
        <v>-0.63992039191671657</v>
      </c>
      <c r="L4" s="21">
        <v>-3.2613940251391652E-2</v>
      </c>
      <c r="M4" s="22">
        <v>3.968253968253968E-2</v>
      </c>
    </row>
    <row r="5" spans="1:13" x14ac:dyDescent="0.25">
      <c r="A5" s="9">
        <v>41760</v>
      </c>
      <c r="B5" s="2">
        <v>2.5408477237048666</v>
      </c>
      <c r="C5" s="2">
        <v>-0.36335619201290875</v>
      </c>
      <c r="D5" s="2">
        <v>-1.4438997214484679</v>
      </c>
      <c r="E5" s="2">
        <v>-5.1836146562371184E-2</v>
      </c>
      <c r="F5" s="2">
        <v>-2.5088995215311005</v>
      </c>
      <c r="G5" s="2">
        <v>-0.04</v>
      </c>
      <c r="H5" s="2">
        <v>-0.74236174270206745</v>
      </c>
      <c r="I5" s="2">
        <v>-1.4513067655236342</v>
      </c>
      <c r="J5" s="2">
        <v>-1.0804624277456643</v>
      </c>
      <c r="K5" s="16">
        <v>-5.1612903225807041E-3</v>
      </c>
      <c r="L5" s="21">
        <v>-0.21005904220424218</v>
      </c>
      <c r="M5" s="22">
        <v>0.11141316457952671</v>
      </c>
    </row>
    <row r="6" spans="1:13" x14ac:dyDescent="0.25">
      <c r="A6" s="9">
        <v>41791</v>
      </c>
      <c r="B6" s="2">
        <v>3.293325581395349</v>
      </c>
      <c r="C6" s="2">
        <v>9.4317220794295081E-2</v>
      </c>
      <c r="D6" s="2">
        <v>0.31583596214511095</v>
      </c>
      <c r="E6" s="2">
        <v>0.97190793032100631</v>
      </c>
      <c r="F6" s="2">
        <v>-0.14843373493975834</v>
      </c>
      <c r="G6" s="2">
        <v>-1.6573913043478268</v>
      </c>
      <c r="H6" s="2">
        <v>1.7961981925831351E-2</v>
      </c>
      <c r="I6" s="2">
        <v>0.55615586598046474</v>
      </c>
      <c r="J6" s="2">
        <v>0.64354430379746719</v>
      </c>
      <c r="K6" s="16">
        <v>-3.2280476037311198E-2</v>
      </c>
      <c r="L6" s="21">
        <v>0.4627249357326475</v>
      </c>
      <c r="M6" s="22">
        <v>5.8741856242657271E-2</v>
      </c>
    </row>
    <row r="7" spans="1:13" x14ac:dyDescent="0.25">
      <c r="A7" s="9">
        <v>41821</v>
      </c>
      <c r="B7" s="2">
        <v>0.35827117708350709</v>
      </c>
      <c r="C7" s="2">
        <v>-0.18054116103640411</v>
      </c>
      <c r="D7" s="2">
        <v>0.96999999999999953</v>
      </c>
      <c r="E7" s="2">
        <v>0.52990942129391505</v>
      </c>
      <c r="F7" s="2">
        <v>0.33474164133738638</v>
      </c>
      <c r="G7" s="2">
        <v>-0.99482412060301384</v>
      </c>
      <c r="H7" s="2">
        <v>0.49101100945883291</v>
      </c>
      <c r="I7" s="2">
        <v>-0.34218731238743183</v>
      </c>
      <c r="J7" s="2">
        <v>2.6286826347305401</v>
      </c>
      <c r="K7" s="16">
        <v>-0.03</v>
      </c>
      <c r="L7" s="21">
        <v>0.51874115983026836</v>
      </c>
      <c r="M7" s="22">
        <v>1.8210955710955712E-2</v>
      </c>
    </row>
    <row r="8" spans="1:13" x14ac:dyDescent="0.25">
      <c r="A8" s="9">
        <v>41852</v>
      </c>
      <c r="B8" s="2">
        <v>-1.4638831703639426</v>
      </c>
      <c r="C8" s="2">
        <v>0.31775388192310838</v>
      </c>
      <c r="D8" s="2">
        <v>-2.0729864253393662</v>
      </c>
      <c r="E8" s="2">
        <v>0.12205156136528561</v>
      </c>
      <c r="F8" s="2">
        <v>0.14699115044247724</v>
      </c>
      <c r="G8" s="2">
        <v>-0.81688524590163891</v>
      </c>
      <c r="H8" s="2">
        <v>-0.15483281319661218</v>
      </c>
      <c r="I8" s="2">
        <v>1.0869098006985825</v>
      </c>
      <c r="J8" s="2">
        <v>-0.500588235294118</v>
      </c>
      <c r="K8" s="16">
        <v>1.7250626808100278</v>
      </c>
      <c r="L8" s="21">
        <v>-4.5173367434192341E-2</v>
      </c>
      <c r="M8" s="22">
        <v>4.8087431693989074E-2</v>
      </c>
    </row>
    <row r="9" spans="1:13" x14ac:dyDescent="0.25">
      <c r="A9" s="9">
        <v>41883</v>
      </c>
      <c r="B9" s="2">
        <v>3.5840044493882091</v>
      </c>
      <c r="C9" s="2">
        <v>0.29956100710135541</v>
      </c>
      <c r="D9" s="2">
        <v>-0.20813905930470381</v>
      </c>
      <c r="E9" s="2">
        <v>0.55495872769241195</v>
      </c>
      <c r="F9" s="2">
        <v>1.4102325581395354</v>
      </c>
      <c r="G9" s="2">
        <v>7.6291228070175423</v>
      </c>
      <c r="H9" s="2">
        <v>0.77831806577564056</v>
      </c>
      <c r="I9" s="2">
        <v>0.85406015037593974</v>
      </c>
      <c r="J9" s="2">
        <v>1.1432653061224487</v>
      </c>
      <c r="K9" s="16">
        <v>-0.02</v>
      </c>
      <c r="L9" s="21">
        <v>0.62754821930731186</v>
      </c>
      <c r="M9" s="22">
        <v>5.1301344095215293E-2</v>
      </c>
    </row>
    <row r="10" spans="1:13" x14ac:dyDescent="0.25">
      <c r="A10" s="9">
        <v>41913</v>
      </c>
      <c r="B10" s="2">
        <v>0.30822070145423436</v>
      </c>
      <c r="C10" s="2">
        <v>6.5459833359535743E-2</v>
      </c>
      <c r="D10" s="2">
        <v>1.4941551246537401</v>
      </c>
      <c r="E10" s="2">
        <v>-0.61795118369558333</v>
      </c>
      <c r="F10" s="2">
        <v>-1.5684415584415585</v>
      </c>
      <c r="G10" s="2">
        <v>0.41857142857142854</v>
      </c>
      <c r="H10" s="2">
        <v>-0.53041678400450554</v>
      </c>
      <c r="I10" s="2">
        <v>-0.59134034165571625</v>
      </c>
      <c r="J10" s="2">
        <v>-0.28906976744185947</v>
      </c>
      <c r="K10" s="16">
        <v>-0.01</v>
      </c>
      <c r="L10" s="21">
        <v>-0.28752547421225944</v>
      </c>
      <c r="M10" s="22">
        <v>6.181379330644924E-2</v>
      </c>
    </row>
    <row r="11" spans="1:13" x14ac:dyDescent="0.25">
      <c r="A11" s="9">
        <v>41944</v>
      </c>
      <c r="B11" s="2">
        <v>0.14000000000000001</v>
      </c>
      <c r="C11" s="2">
        <v>0.81799406342758918</v>
      </c>
      <c r="D11" s="2">
        <v>2.6975384615384614</v>
      </c>
      <c r="E11" s="2">
        <v>1.0993175845134942</v>
      </c>
      <c r="F11" s="2">
        <v>-0.27074626865671747</v>
      </c>
      <c r="G11" s="2">
        <v>0.26963448275862117</v>
      </c>
      <c r="H11" s="2">
        <v>0.99736826611716323</v>
      </c>
      <c r="I11" s="2">
        <v>1.1400073651261278</v>
      </c>
      <c r="J11" s="2">
        <v>0.55142857142857193</v>
      </c>
      <c r="K11" s="16">
        <v>-0.5819742007851918</v>
      </c>
      <c r="L11" s="21">
        <v>0.55574014866716515</v>
      </c>
      <c r="M11" s="22">
        <v>6.0610142097110915E-2</v>
      </c>
    </row>
    <row r="12" spans="1:13" x14ac:dyDescent="0.25">
      <c r="A12" s="9">
        <v>41974</v>
      </c>
      <c r="B12" s="2">
        <v>-0.90842598684210629</v>
      </c>
      <c r="C12" s="2">
        <v>0.11771028037383027</v>
      </c>
      <c r="D12" s="2">
        <v>-0.28084295032614065</v>
      </c>
      <c r="E12" s="2">
        <v>0.50759746146872209</v>
      </c>
      <c r="F12" s="2">
        <v>-0.73512195121951207</v>
      </c>
      <c r="G12" s="2">
        <v>-0.36321266534118846</v>
      </c>
      <c r="H12" s="2">
        <v>0.43055630936227962</v>
      </c>
      <c r="I12" s="2">
        <v>-0.21125587642713259</v>
      </c>
      <c r="J12" s="2">
        <v>-0.53090909090909255</v>
      </c>
      <c r="K12" s="16">
        <v>-0.53779346866725641</v>
      </c>
      <c r="L12" s="21">
        <v>0.34115242919640992</v>
      </c>
      <c r="M12" s="22">
        <v>7.9493888907290255E-2</v>
      </c>
    </row>
    <row r="13" spans="1:13" x14ac:dyDescent="0.25">
      <c r="A13" s="9">
        <v>42005</v>
      </c>
      <c r="B13" s="2">
        <v>-1.158293057754014</v>
      </c>
      <c r="C13" s="2">
        <v>0.72632458921879473</v>
      </c>
      <c r="D13" s="2">
        <v>0.48998463901689604</v>
      </c>
      <c r="E13" s="2">
        <v>-0.3364739884393067</v>
      </c>
      <c r="F13" s="2">
        <v>1.9605825242718455</v>
      </c>
      <c r="G13" s="2">
        <v>-0.3106782006920405</v>
      </c>
      <c r="H13" s="2">
        <v>0.29022326674500426</v>
      </c>
      <c r="I13" s="2">
        <v>-0.36951456310679631</v>
      </c>
      <c r="J13" s="2">
        <v>0.4918483412322292</v>
      </c>
      <c r="K13" s="16">
        <v>-1.7327071823204416</v>
      </c>
      <c r="L13" s="21">
        <v>-0.14421347960847328</v>
      </c>
      <c r="M13" s="22">
        <v>6.1266167460857723E-2</v>
      </c>
    </row>
    <row r="14" spans="1:13" x14ac:dyDescent="0.25">
      <c r="A14" s="9">
        <v>42036</v>
      </c>
      <c r="B14" s="2">
        <v>-2.4058961802154752</v>
      </c>
      <c r="C14" s="2">
        <v>0.94071646651740382</v>
      </c>
      <c r="D14" s="2">
        <v>0.68137524557956852</v>
      </c>
      <c r="E14" s="2">
        <v>-0.35443751054140671</v>
      </c>
      <c r="F14" s="2">
        <v>-0.2866666666666669</v>
      </c>
      <c r="G14" s="2">
        <v>-0.53061792662752993</v>
      </c>
      <c r="H14" s="2">
        <v>-0.3361512027491399</v>
      </c>
      <c r="I14" s="2">
        <v>-0.39684210526315772</v>
      </c>
      <c r="J14" s="2">
        <v>0.74363636363636176</v>
      </c>
      <c r="K14" s="16">
        <v>7.0225563909774802E-2</v>
      </c>
      <c r="L14" s="21">
        <v>-0.13509022066529958</v>
      </c>
      <c r="M14" s="22">
        <v>8.1964413783682258E-2</v>
      </c>
    </row>
    <row r="15" spans="1:13" x14ac:dyDescent="0.25">
      <c r="A15" s="9">
        <v>42064</v>
      </c>
      <c r="B15" s="2">
        <v>-0.44075794621026898</v>
      </c>
      <c r="C15" s="2">
        <v>0.5662686098373011</v>
      </c>
      <c r="D15" s="2">
        <v>2.2753364269141536</v>
      </c>
      <c r="E15" s="2">
        <v>0.12398281677238532</v>
      </c>
      <c r="F15" s="2">
        <v>1.6404545454545447</v>
      </c>
      <c r="G15" s="2">
        <v>-2.563333333333333</v>
      </c>
      <c r="H15" s="2">
        <v>1.201372549019607</v>
      </c>
      <c r="I15" s="2">
        <v>2.0065875747147253</v>
      </c>
      <c r="J15" s="2">
        <v>-0.28641025641025553</v>
      </c>
      <c r="K15" s="16">
        <v>2.4390831556503194</v>
      </c>
      <c r="L15" s="21">
        <v>0.84360608223769817</v>
      </c>
      <c r="M15" s="22">
        <v>2.9235017053759946E-2</v>
      </c>
    </row>
    <row r="16" spans="1:13" x14ac:dyDescent="0.25">
      <c r="A16" s="9">
        <v>42095</v>
      </c>
      <c r="B16" s="2">
        <v>0.97734177215189877</v>
      </c>
      <c r="C16" s="2">
        <v>-0.48037701974865232</v>
      </c>
      <c r="D16" s="2">
        <v>-0.14546126897625661</v>
      </c>
      <c r="E16" s="2">
        <v>-0.92687850736246336</v>
      </c>
      <c r="F16" s="2">
        <v>-9.9775561097256271E-2</v>
      </c>
      <c r="G16" s="2">
        <v>-1.3057746478873242</v>
      </c>
      <c r="H16" s="2">
        <v>-0.36281564908120784</v>
      </c>
      <c r="I16" s="2">
        <v>0.35977392381542178</v>
      </c>
      <c r="J16" s="2">
        <v>-0.21960698689956351</v>
      </c>
      <c r="K16" s="16">
        <v>-0.32476569407603911</v>
      </c>
      <c r="L16" s="21">
        <v>-0.45983872586743391</v>
      </c>
      <c r="M16" s="22">
        <v>4.7444331983805668E-2</v>
      </c>
    </row>
    <row r="17" spans="1:13" x14ac:dyDescent="0.25">
      <c r="A17" s="9">
        <v>42125</v>
      </c>
      <c r="B17" s="2">
        <v>5.3513964912280692</v>
      </c>
      <c r="C17" s="2">
        <v>-0.34933354095297564</v>
      </c>
      <c r="D17" s="2">
        <v>0.55220472440944945</v>
      </c>
      <c r="E17" s="2">
        <v>0.91836370110985788</v>
      </c>
      <c r="F17" s="2">
        <v>1.4673869346733661</v>
      </c>
      <c r="G17" s="2">
        <v>-0.38894736842105354</v>
      </c>
      <c r="H17" s="2">
        <v>0.29487358006595793</v>
      </c>
      <c r="I17" s="2">
        <v>-0.44623253717890721</v>
      </c>
      <c r="J17" s="2">
        <v>0.2033333333333335</v>
      </c>
      <c r="K17" s="16">
        <v>0.37135593220339136</v>
      </c>
      <c r="L17" s="21">
        <v>0.46705603466272089</v>
      </c>
      <c r="M17" s="22">
        <v>1.0777410547492455E-2</v>
      </c>
    </row>
    <row r="18" spans="1:13" x14ac:dyDescent="0.25">
      <c r="A18" s="9">
        <v>42156</v>
      </c>
      <c r="B18" s="2">
        <v>-0.28162500874090896</v>
      </c>
      <c r="C18" s="2">
        <v>0.29228831485161261</v>
      </c>
      <c r="D18" s="2">
        <v>0.44806694245957152</v>
      </c>
      <c r="E18" s="2">
        <v>-0.22005371160997181</v>
      </c>
      <c r="F18" s="2">
        <v>0.31214765100671171</v>
      </c>
      <c r="G18" s="2">
        <v>0.70739130434782704</v>
      </c>
      <c r="H18" s="2">
        <v>9.434782608695709E-2</v>
      </c>
      <c r="I18" s="2">
        <v>-0.1764848012470786</v>
      </c>
      <c r="J18" s="2">
        <v>-0.21960698689956351</v>
      </c>
      <c r="K18" s="16">
        <v>0.27160750953358653</v>
      </c>
      <c r="L18" s="21">
        <v>0.11464012538345088</v>
      </c>
      <c r="M18" s="22">
        <v>6.3319427890345656E-2</v>
      </c>
    </row>
    <row r="19" spans="1:13" x14ac:dyDescent="0.25">
      <c r="A19" s="9">
        <v>42186</v>
      </c>
      <c r="B19" s="2">
        <v>0.5056131454148669</v>
      </c>
      <c r="C19" s="2">
        <v>-6.7995498311867214E-2</v>
      </c>
      <c r="D19" s="2">
        <v>0.99806556783191469</v>
      </c>
      <c r="E19" s="2">
        <v>-0.80154081217847095</v>
      </c>
      <c r="F19" s="2">
        <v>1.4101960784313732</v>
      </c>
      <c r="G19" s="2">
        <v>-0.94153846153846066</v>
      </c>
      <c r="H19" s="2">
        <v>-0.71344355219650624</v>
      </c>
      <c r="I19" s="2">
        <v>-7.2412266835283123E-2</v>
      </c>
      <c r="J19" s="2">
        <v>-2.106666666666666</v>
      </c>
      <c r="K19" s="16">
        <v>6.1014617368872412E-2</v>
      </c>
      <c r="L19" s="21">
        <v>-0.24579320410893982</v>
      </c>
      <c r="M19" s="22">
        <v>6.7417512690355327E-2</v>
      </c>
    </row>
    <row r="20" spans="1:13" x14ac:dyDescent="0.25">
      <c r="A20" s="9">
        <v>42217</v>
      </c>
      <c r="B20" s="2">
        <v>-1.6036640378548905</v>
      </c>
      <c r="C20" s="2">
        <v>0.82393504059962552</v>
      </c>
      <c r="D20" s="2">
        <v>0.76959282034236431</v>
      </c>
      <c r="E20" s="2">
        <v>-0.45745247913854786</v>
      </c>
      <c r="F20" s="2">
        <v>-0.63813953488372133</v>
      </c>
      <c r="G20" s="2">
        <v>-0.80928176795580198</v>
      </c>
      <c r="H20" s="2">
        <v>-0.13834683954619134</v>
      </c>
      <c r="I20" s="2">
        <v>1.3095734597156394</v>
      </c>
      <c r="J20" s="2">
        <v>2.0376470588235298</v>
      </c>
      <c r="K20" s="16">
        <v>0.38232294617563722</v>
      </c>
      <c r="L20" s="21">
        <v>0.40972358626668876</v>
      </c>
      <c r="M20" s="22">
        <v>2.3880026745629956E-2</v>
      </c>
    </row>
    <row r="21" spans="1:13" x14ac:dyDescent="0.25">
      <c r="A21" s="9">
        <v>42248</v>
      </c>
      <c r="B21" s="2">
        <v>-1.3558542754536012</v>
      </c>
      <c r="C21" s="2">
        <v>-0.88149628252788048</v>
      </c>
      <c r="D21" s="2">
        <v>-1.3794148688499159</v>
      </c>
      <c r="E21" s="2">
        <v>-1.3512152662822123</v>
      </c>
      <c r="F21" s="2">
        <v>-1.3558536585365843</v>
      </c>
      <c r="G21" s="2">
        <v>-0.97823529411764731</v>
      </c>
      <c r="H21" s="2">
        <v>-0.37787271360561242</v>
      </c>
      <c r="I21" s="2">
        <v>-0.68149086790315616</v>
      </c>
      <c r="J21" s="2">
        <v>-9.9090909090909188E-2</v>
      </c>
      <c r="K21" s="16">
        <v>-0.72322422258592312</v>
      </c>
      <c r="L21" s="21">
        <v>-1.1470376337747734</v>
      </c>
      <c r="M21" s="22">
        <v>4.1903830708523937E-2</v>
      </c>
    </row>
    <row r="22" spans="1:13" x14ac:dyDescent="0.25">
      <c r="A22" s="9">
        <v>42278</v>
      </c>
      <c r="B22" s="2">
        <v>-2.0127226976160539</v>
      </c>
      <c r="C22" s="2">
        <v>0.39813264729873832</v>
      </c>
      <c r="D22" s="2">
        <v>1.1290573986308587</v>
      </c>
      <c r="E22" s="2">
        <v>-0.44130892416715722</v>
      </c>
      <c r="F22" s="2">
        <v>-0.38275229357798252</v>
      </c>
      <c r="G22" s="2">
        <v>-0.387692307692308</v>
      </c>
      <c r="H22" s="2">
        <v>0.34102537545313433</v>
      </c>
      <c r="I22" s="2">
        <v>0.79620192307692295</v>
      </c>
      <c r="J22" s="2">
        <v>-0.5754128440366989</v>
      </c>
      <c r="K22" s="16">
        <v>0.16753050552004678</v>
      </c>
      <c r="L22" s="21">
        <v>0.14579144166869817</v>
      </c>
      <c r="M22" s="22">
        <v>3.187081695527462E-2</v>
      </c>
    </row>
    <row r="23" spans="1:13" x14ac:dyDescent="0.25">
      <c r="A23" s="9">
        <v>42309</v>
      </c>
      <c r="B23" s="2">
        <v>-0.3803889188268037</v>
      </c>
      <c r="C23" s="2">
        <v>1.5048370745836346</v>
      </c>
      <c r="D23" s="2">
        <v>1.9346802742784239</v>
      </c>
      <c r="E23" s="2">
        <v>0.63056544980793394</v>
      </c>
      <c r="F23" s="2">
        <v>2.2929411764705869</v>
      </c>
      <c r="G23" s="2">
        <v>-1.5621052631578942</v>
      </c>
      <c r="H23" s="2">
        <v>0.44341463414634175</v>
      </c>
      <c r="I23" s="2">
        <v>1.51060767292075</v>
      </c>
      <c r="J23" s="2">
        <v>-0.16258373205741494</v>
      </c>
      <c r="K23" s="16">
        <v>0.91065755764303846</v>
      </c>
      <c r="L23" s="21">
        <v>1.4623082500190792</v>
      </c>
      <c r="M23" s="22">
        <v>3.9376279729091197E-2</v>
      </c>
    </row>
    <row r="24" spans="1:13" x14ac:dyDescent="0.25">
      <c r="A24" s="9">
        <v>42339</v>
      </c>
      <c r="B24" s="2">
        <v>-4.8595102829496817</v>
      </c>
      <c r="C24" s="2">
        <v>-0.30118391896169611</v>
      </c>
      <c r="D24" s="2">
        <v>0.25530350141949476</v>
      </c>
      <c r="E24" s="2">
        <v>-0.7165691447109882</v>
      </c>
      <c r="F24" s="2">
        <v>1.1007003891050586</v>
      </c>
      <c r="G24" s="2">
        <v>-2.3822222222222225</v>
      </c>
      <c r="H24" s="2">
        <v>0.14295128600213278</v>
      </c>
      <c r="I24" s="2">
        <v>1.1880176211453755</v>
      </c>
      <c r="J24" s="2">
        <v>-0.27428571428571435</v>
      </c>
      <c r="K24" s="16">
        <v>0.95134235171696224</v>
      </c>
      <c r="L24" s="21">
        <v>3.1250597906847706E-2</v>
      </c>
      <c r="M24" s="22">
        <v>4.3579889861732897E-2</v>
      </c>
    </row>
    <row r="25" spans="1:13" x14ac:dyDescent="0.25">
      <c r="A25" s="9">
        <v>42370</v>
      </c>
      <c r="B25" s="2">
        <v>0.36017477750483523</v>
      </c>
      <c r="C25" s="2">
        <v>-0.22390262132294059</v>
      </c>
      <c r="D25" s="2">
        <v>-1.9444609956879655</v>
      </c>
      <c r="E25" s="2">
        <v>0.44597983340640052</v>
      </c>
      <c r="F25" s="2">
        <v>-1.5876056338028164</v>
      </c>
      <c r="G25" s="2">
        <v>-0.42909090909090869</v>
      </c>
      <c r="H25" s="2">
        <v>-1.0302890173410411</v>
      </c>
      <c r="I25" s="2">
        <v>-0.78732673267326814</v>
      </c>
      <c r="J25" s="2">
        <v>-0.26230769230769357</v>
      </c>
      <c r="K25" s="16">
        <v>-0.76571428571428635</v>
      </c>
      <c r="L25" s="21">
        <v>-0.3126865924820178</v>
      </c>
      <c r="M25" s="22">
        <v>3.7071362372567189E-2</v>
      </c>
    </row>
    <row r="26" spans="1:13" x14ac:dyDescent="0.25">
      <c r="A26" s="9">
        <v>42401</v>
      </c>
      <c r="B26" s="2">
        <v>-0.72080459770114946</v>
      </c>
      <c r="C26" s="2">
        <v>-0.34080451247285731</v>
      </c>
      <c r="D26" s="2">
        <v>-2.0274459724950882</v>
      </c>
      <c r="E26" s="2">
        <v>-1.0442833594329506</v>
      </c>
      <c r="F26" s="2">
        <v>-1.6292125984251964</v>
      </c>
      <c r="G26" s="2">
        <v>-3.3024770642201848</v>
      </c>
      <c r="H26" s="2">
        <v>-0.44059228311624477</v>
      </c>
      <c r="I26" s="2">
        <v>-1.9385164835164828</v>
      </c>
      <c r="J26" s="2">
        <v>-0.61708133971291768</v>
      </c>
      <c r="K26" s="16">
        <v>-0.30329376854599305</v>
      </c>
      <c r="L26" s="21">
        <v>-0.80128535879667429</v>
      </c>
      <c r="M26" s="22">
        <v>7.6042998859355018E-2</v>
      </c>
    </row>
    <row r="27" spans="1:13" x14ac:dyDescent="0.25">
      <c r="A27" s="9">
        <v>42430</v>
      </c>
      <c r="B27" s="2">
        <v>-0.92287366336633603</v>
      </c>
      <c r="C27" s="2">
        <v>0.12333333333333393</v>
      </c>
      <c r="D27" s="2">
        <v>0.12796866748811705</v>
      </c>
      <c r="E27" s="2">
        <v>0.11201072667998788</v>
      </c>
      <c r="F27" s="2">
        <v>-1.4020529801324506</v>
      </c>
      <c r="G27" s="2">
        <v>-0.79536585365853585</v>
      </c>
      <c r="H27" s="2">
        <v>0.39424159742031539</v>
      </c>
      <c r="I27" s="2">
        <v>1.650674157303369</v>
      </c>
      <c r="J27" s="2">
        <v>-0.44529411764705901</v>
      </c>
      <c r="K27" s="16">
        <v>-1.4624056254626214</v>
      </c>
      <c r="L27" s="21">
        <v>0.13171400843566664</v>
      </c>
      <c r="M27" s="22">
        <v>8.4141210901774288E-2</v>
      </c>
    </row>
    <row r="28" spans="1:13" x14ac:dyDescent="0.25">
      <c r="A28" s="9">
        <v>42461</v>
      </c>
      <c r="B28" s="2">
        <v>-2.5694741788366695</v>
      </c>
      <c r="C28" s="2">
        <v>0.17797813080255873</v>
      </c>
      <c r="D28" s="2">
        <v>-0.51994863893168852</v>
      </c>
      <c r="E28" s="2">
        <v>-1.3264948365622609</v>
      </c>
      <c r="F28" s="2">
        <v>-0.74941176470588278</v>
      </c>
      <c r="G28" s="2">
        <v>-2.9892307692307694</v>
      </c>
      <c r="H28" s="2">
        <v>7.4721927027984164E-2</v>
      </c>
      <c r="I28" s="2">
        <v>9.0368505378805947E-2</v>
      </c>
      <c r="J28" s="2">
        <v>-0.82000000000000051</v>
      </c>
      <c r="K28" s="16">
        <v>0.20975206611570393</v>
      </c>
      <c r="L28" s="21">
        <v>0.54957414257397486</v>
      </c>
      <c r="M28" s="22">
        <v>4.1704579921140433E-2</v>
      </c>
    </row>
    <row r="29" spans="1:13" x14ac:dyDescent="0.25">
      <c r="A29" s="9">
        <v>42491</v>
      </c>
      <c r="B29" s="2">
        <v>-0.18293189605547019</v>
      </c>
      <c r="C29" s="2">
        <v>0.13925715141530626</v>
      </c>
      <c r="D29" s="2">
        <v>0.59555750658472295</v>
      </c>
      <c r="E29" s="2">
        <v>-1.4220374931839115</v>
      </c>
      <c r="F29" s="2">
        <v>-0.73999999999999977</v>
      </c>
      <c r="G29" s="2">
        <v>-4.34</v>
      </c>
      <c r="H29" s="2">
        <v>-0.89042065229918044</v>
      </c>
      <c r="I29" s="2">
        <v>-0.54214190093708237</v>
      </c>
      <c r="J29" s="2">
        <v>2.1231578947368432</v>
      </c>
      <c r="K29" s="16">
        <v>-0.27936170212766032</v>
      </c>
      <c r="L29" s="21">
        <v>-0.39923390584455637</v>
      </c>
      <c r="M29" s="22">
        <v>2.6829174811237592E-2</v>
      </c>
    </row>
    <row r="30" spans="1:13" x14ac:dyDescent="0.25">
      <c r="A30" s="9">
        <v>42522</v>
      </c>
      <c r="B30" s="2">
        <v>-0.10496120024837219</v>
      </c>
      <c r="C30" s="2">
        <v>7.7573808266524991E-2</v>
      </c>
      <c r="D30" s="2">
        <v>0.73104088613780616</v>
      </c>
      <c r="E30" s="2">
        <v>0.14126065616119737</v>
      </c>
      <c r="F30" s="2">
        <v>0.69490716180371437</v>
      </c>
      <c r="G30" s="2">
        <v>-3.26</v>
      </c>
      <c r="H30" s="2">
        <v>3.1339533760114613E-2</v>
      </c>
      <c r="I30" s="2">
        <v>-0.63444683989560879</v>
      </c>
      <c r="J30" s="2">
        <v>0.26401746724890873</v>
      </c>
      <c r="K30" s="16">
        <v>-0.72361471288700741</v>
      </c>
      <c r="L30" s="21">
        <v>0.38007897199461216</v>
      </c>
      <c r="M30" s="22">
        <v>2.2543678376855156E-2</v>
      </c>
    </row>
    <row r="31" spans="1:13" x14ac:dyDescent="0.25">
      <c r="A31" s="9">
        <v>42552</v>
      </c>
      <c r="B31" s="2">
        <v>-0.85163280143693909</v>
      </c>
      <c r="C31" s="2">
        <v>0.1575108558621669</v>
      </c>
      <c r="D31" s="2">
        <v>-0.65278663857959507</v>
      </c>
      <c r="E31" s="2">
        <v>1.9136397996220422</v>
      </c>
      <c r="F31" s="2">
        <v>-1.0955528255528262</v>
      </c>
      <c r="G31" s="2">
        <v>1.73</v>
      </c>
      <c r="H31" s="2">
        <v>-1.0030188679245273</v>
      </c>
      <c r="I31" s="2">
        <v>-0.27562192550948589</v>
      </c>
      <c r="J31" s="2">
        <v>1.6881589958158978</v>
      </c>
      <c r="K31" s="16">
        <v>-0.69939719240297182</v>
      </c>
      <c r="L31" s="21">
        <v>-0.21936828411949402</v>
      </c>
      <c r="M31" s="22">
        <v>3.5310734463276837E-2</v>
      </c>
    </row>
    <row r="32" spans="1:13" x14ac:dyDescent="0.25">
      <c r="A32" s="9">
        <v>42583</v>
      </c>
      <c r="B32" s="2">
        <v>-2.115523266896318</v>
      </c>
      <c r="C32" s="2">
        <v>-0.60646528403967614</v>
      </c>
      <c r="D32" s="2">
        <v>-1.3334193347839607</v>
      </c>
      <c r="E32" s="2">
        <v>-0.27721258776753277</v>
      </c>
      <c r="F32" s="2">
        <v>1.8284960422163155E-2</v>
      </c>
      <c r="G32" s="2">
        <v>-3.0728571428571425</v>
      </c>
      <c r="H32" s="2">
        <v>-0.86202712886209509</v>
      </c>
      <c r="I32" s="2">
        <v>-0.2906280759315677</v>
      </c>
      <c r="J32" s="2">
        <v>-1.6249640287769778</v>
      </c>
      <c r="K32" s="16">
        <v>-0.16214387667713323</v>
      </c>
      <c r="L32" s="21">
        <v>0.86157784668637882</v>
      </c>
      <c r="M32" s="22">
        <v>1.9334132477475736E-2</v>
      </c>
    </row>
    <row r="33" spans="1:13" x14ac:dyDescent="0.25">
      <c r="A33" s="9">
        <v>42614</v>
      </c>
      <c r="B33" s="2">
        <v>0.19244109368223417</v>
      </c>
      <c r="C33" s="2">
        <v>-0.54914024643499859</v>
      </c>
      <c r="D33" s="2">
        <v>0.14130257801899593</v>
      </c>
      <c r="E33" s="2">
        <v>1.8221477301440248</v>
      </c>
      <c r="F33" s="2">
        <v>-0.28000000000000003</v>
      </c>
      <c r="G33" s="2">
        <v>-5.7777777777778622E-2</v>
      </c>
      <c r="H33" s="2">
        <v>-0.14279405966618633</v>
      </c>
      <c r="I33" s="2">
        <v>-1.795066573230554</v>
      </c>
      <c r="J33" s="2">
        <v>1.026451612903226</v>
      </c>
      <c r="K33" s="16">
        <v>9.4999999999999751E-2</v>
      </c>
      <c r="L33" s="21">
        <v>7.0394698110191598E-2</v>
      </c>
      <c r="M33" s="22">
        <v>4.9875311720698257E-2</v>
      </c>
    </row>
    <row r="34" spans="1:13" x14ac:dyDescent="0.25">
      <c r="A34" s="9">
        <v>42644</v>
      </c>
      <c r="B34" s="2">
        <v>0.13273105234274218</v>
      </c>
      <c r="C34" s="2">
        <v>-0.15475711655572971</v>
      </c>
      <c r="D34" s="2">
        <v>-1.1815533344256925</v>
      </c>
      <c r="E34" s="2">
        <v>0.13706211611923003</v>
      </c>
      <c r="F34" s="2">
        <v>0.12153846153846126</v>
      </c>
      <c r="G34" s="2">
        <v>-5.3581818181818175</v>
      </c>
      <c r="H34" s="2">
        <v>-0.244885654885655</v>
      </c>
      <c r="I34" s="2">
        <v>0.30483357839860908</v>
      </c>
      <c r="J34" s="2">
        <v>-0.34</v>
      </c>
      <c r="K34" s="16">
        <v>-1.0345126945126959</v>
      </c>
      <c r="L34" s="21">
        <v>0.20741898936859707</v>
      </c>
      <c r="M34" s="22">
        <v>3.8470416249903827E-2</v>
      </c>
    </row>
    <row r="35" spans="1:13" x14ac:dyDescent="0.25">
      <c r="A35" s="9">
        <v>42675</v>
      </c>
      <c r="B35" s="2">
        <v>-3.2788373177842556</v>
      </c>
      <c r="C35" s="2">
        <v>0.26309623430962303</v>
      </c>
      <c r="D35" s="2">
        <v>-1.8459911894273129</v>
      </c>
      <c r="E35" s="2">
        <v>-0.42739309051807395</v>
      </c>
      <c r="F35" s="2">
        <v>-0.39111111111111035</v>
      </c>
      <c r="G35" s="2">
        <v>24.27</v>
      </c>
      <c r="H35" s="2">
        <v>0.3754853680546606</v>
      </c>
      <c r="I35" s="2">
        <v>0.16848407966510293</v>
      </c>
      <c r="J35" s="2">
        <v>-0.69818181818181735</v>
      </c>
      <c r="K35" s="16">
        <v>-0.56693132425383941</v>
      </c>
      <c r="L35" s="21">
        <v>-0.24581281091843968</v>
      </c>
      <c r="M35" s="22">
        <v>3.9035053478023267E-2</v>
      </c>
    </row>
    <row r="36" spans="1:13" x14ac:dyDescent="0.25">
      <c r="A36" s="9">
        <v>42705</v>
      </c>
      <c r="B36" s="2">
        <v>2.8307997455512339</v>
      </c>
      <c r="C36" s="2">
        <v>0.58484370895718452</v>
      </c>
      <c r="D36" s="2">
        <v>-0.13014515808311689</v>
      </c>
      <c r="E36" s="2">
        <v>-1.1947403096519151</v>
      </c>
      <c r="F36" s="2">
        <v>0.44117647058823606</v>
      </c>
      <c r="G36" s="2">
        <v>-5.3979591836734704</v>
      </c>
      <c r="H36" s="2">
        <v>-0.75848375451263417</v>
      </c>
      <c r="I36" s="2">
        <v>-1.2972078469129875</v>
      </c>
      <c r="J36" s="2">
        <v>1.7222222222222219</v>
      </c>
      <c r="K36" s="16">
        <v>-0.5</v>
      </c>
      <c r="L36" s="21">
        <v>-8.2669385391884703E-2</v>
      </c>
      <c r="M36" s="22">
        <v>7.5455879270593162E-2</v>
      </c>
    </row>
    <row r="37" spans="1:13" x14ac:dyDescent="0.25">
      <c r="A37" s="9">
        <v>42736</v>
      </c>
      <c r="B37" s="2">
        <v>-0.41285353953974485</v>
      </c>
      <c r="C37" s="2">
        <v>-1.314475448669048</v>
      </c>
      <c r="D37" s="2">
        <v>-0.24453703703703761</v>
      </c>
      <c r="E37" s="2">
        <v>-0.45435123401031585</v>
      </c>
      <c r="F37" s="2">
        <v>0.95272727272727264</v>
      </c>
      <c r="G37" s="2">
        <v>5.2606896551724134</v>
      </c>
      <c r="H37" s="2">
        <v>-5.5112532283853211E-2</v>
      </c>
      <c r="I37" s="2">
        <v>-0.75204847234755712</v>
      </c>
      <c r="J37" s="2">
        <v>0.22999999999999898</v>
      </c>
      <c r="K37" s="16">
        <v>6.4938704028021599E-2</v>
      </c>
      <c r="L37" s="21">
        <v>0.32830738683170912</v>
      </c>
      <c r="M37" s="22">
        <v>3.5698702947126251E-2</v>
      </c>
    </row>
    <row r="38" spans="1:13" x14ac:dyDescent="0.25">
      <c r="A38" s="9">
        <v>42767</v>
      </c>
      <c r="B38" s="2">
        <v>1.2045097345132751</v>
      </c>
      <c r="C38" s="2">
        <v>-0.72399776421016526</v>
      </c>
      <c r="D38" s="2">
        <v>-1.738372619272111</v>
      </c>
      <c r="E38" s="2">
        <v>1.1577567432458866</v>
      </c>
      <c r="F38" s="2">
        <v>-0.94295546558704646</v>
      </c>
      <c r="G38" s="2">
        <v>-5.5483849197114266</v>
      </c>
      <c r="H38" s="2">
        <v>1.3809637698318735</v>
      </c>
      <c r="I38" s="2">
        <v>0.12623767582489986</v>
      </c>
      <c r="J38" s="2">
        <v>0.88176470588235256</v>
      </c>
      <c r="K38" s="16">
        <v>5.4469802393542932E-2</v>
      </c>
      <c r="L38" s="21">
        <v>0.71322183887721424</v>
      </c>
      <c r="M38" s="22">
        <v>2.1807397069085833E-2</v>
      </c>
    </row>
    <row r="39" spans="1:13" x14ac:dyDescent="0.25">
      <c r="A39" s="9">
        <v>42795</v>
      </c>
      <c r="B39" s="2">
        <v>-3.873712145286635</v>
      </c>
      <c r="C39" s="2">
        <v>0.14729918713399248</v>
      </c>
      <c r="D39" s="2">
        <v>1.9972740616482021E-2</v>
      </c>
      <c r="E39" s="2">
        <v>6.0289634146340365E-2</v>
      </c>
      <c r="F39" s="2">
        <v>0.18081761006289343</v>
      </c>
      <c r="G39" s="2">
        <v>3.5123999999999995</v>
      </c>
      <c r="H39" s="2">
        <v>-0.57473700337044142</v>
      </c>
      <c r="I39" s="2">
        <v>-0.16817275333416426</v>
      </c>
      <c r="J39" s="2">
        <v>-1.2236842105263155</v>
      </c>
      <c r="K39" s="16">
        <v>1.1990445859872603</v>
      </c>
      <c r="L39" s="21">
        <v>0.55497225720934162</v>
      </c>
      <c r="M39" s="22">
        <v>8.9921025881617017E-2</v>
      </c>
    </row>
    <row r="40" spans="1:13" x14ac:dyDescent="0.25">
      <c r="A40" s="9">
        <v>42826</v>
      </c>
      <c r="B40" s="2">
        <v>-1.0826788476232929</v>
      </c>
      <c r="C40" s="2">
        <v>-1.1862103037449683</v>
      </c>
      <c r="D40" s="2">
        <v>-0.80891625615763507</v>
      </c>
      <c r="E40" s="2">
        <v>-0.31562904962783545</v>
      </c>
      <c r="F40" s="2">
        <v>-1.67715953307393</v>
      </c>
      <c r="G40" s="2">
        <v>-2.4153837072018884</v>
      </c>
      <c r="H40" s="2">
        <v>-0.32251459633581758</v>
      </c>
      <c r="I40" s="2">
        <v>-0.28928673323823251</v>
      </c>
      <c r="J40" s="2">
        <v>2.3332876712328758</v>
      </c>
      <c r="K40" s="16">
        <v>-0.63731506849314934</v>
      </c>
      <c r="L40" s="21">
        <v>9.1730832370306839E-2</v>
      </c>
      <c r="M40" s="22">
        <v>5.3342816500711238E-2</v>
      </c>
    </row>
    <row r="41" spans="1:13" x14ac:dyDescent="0.25">
      <c r="A41" s="9">
        <v>42856</v>
      </c>
      <c r="B41" s="2">
        <v>-1.2171471428571419</v>
      </c>
      <c r="C41" s="2">
        <v>-0.63049325091459552</v>
      </c>
      <c r="D41" s="2">
        <v>-1.9357252812314989</v>
      </c>
      <c r="E41" s="2">
        <v>-0.2139621669576155</v>
      </c>
      <c r="F41" s="2">
        <v>1.157647058823529</v>
      </c>
      <c r="G41" s="2">
        <v>-0.66953535215595239</v>
      </c>
      <c r="H41" s="2">
        <v>-0.89023931789555177</v>
      </c>
      <c r="I41" s="2">
        <v>-0.67105785689832254</v>
      </c>
      <c r="J41" s="2">
        <v>-0.43826086956521682</v>
      </c>
      <c r="K41" s="16">
        <v>-1.4949198440842881</v>
      </c>
      <c r="L41" s="21">
        <v>0.43613269025440954</v>
      </c>
      <c r="M41" s="22">
        <v>0.35496957403651114</v>
      </c>
    </row>
    <row r="42" spans="1:13" x14ac:dyDescent="0.25">
      <c r="A42" s="9">
        <v>42887</v>
      </c>
      <c r="B42" s="2">
        <v>-1.360365091374121</v>
      </c>
      <c r="C42" s="2">
        <v>-0.3582802652042244</v>
      </c>
      <c r="D42" s="2">
        <v>-0.68518796992481068</v>
      </c>
      <c r="E42" s="2">
        <v>-1.674996201037845</v>
      </c>
      <c r="F42" s="2">
        <v>-0.32428571428571362</v>
      </c>
      <c r="G42" s="2">
        <v>3.3899999999999988</v>
      </c>
      <c r="H42" s="2">
        <v>-0.11066467585011064</v>
      </c>
      <c r="I42" s="2">
        <v>-0.67035212837084823</v>
      </c>
      <c r="J42" s="2">
        <v>-2.2599999999999998</v>
      </c>
      <c r="K42" s="16">
        <v>0.76536573855592138</v>
      </c>
      <c r="L42" s="21">
        <v>0.39834944747701023</v>
      </c>
      <c r="M42" s="22">
        <v>0.16004518922990021</v>
      </c>
    </row>
    <row r="43" spans="1:13" x14ac:dyDescent="0.25">
      <c r="A43" s="9">
        <v>42917</v>
      </c>
      <c r="B43" s="2">
        <v>1.9274447283626797</v>
      </c>
      <c r="C43" s="2">
        <v>-1.0458122759938373</v>
      </c>
      <c r="D43" s="2">
        <v>-1.0776092867600919</v>
      </c>
      <c r="E43" s="2">
        <v>-2.1851508617001243</v>
      </c>
      <c r="F43" s="2">
        <v>-1.6986486486486494</v>
      </c>
      <c r="G43" s="2">
        <v>-0.17487804878048663</v>
      </c>
      <c r="H43" s="2">
        <v>-1.4253024464557766</v>
      </c>
      <c r="I43" s="2">
        <v>-0.8393368010403115</v>
      </c>
      <c r="J43" s="2">
        <v>-1.8872093023255809</v>
      </c>
      <c r="K43" s="16">
        <v>-0.31002055498458381</v>
      </c>
      <c r="L43" s="21">
        <v>-0.45295202793427708</v>
      </c>
      <c r="M43" s="22">
        <v>8.2555079717248847E-2</v>
      </c>
    </row>
    <row r="44" spans="1:13" x14ac:dyDescent="0.25">
      <c r="A44" s="9">
        <v>42948</v>
      </c>
      <c r="B44" s="2">
        <v>-0.41168657279716048</v>
      </c>
      <c r="C44" s="2">
        <v>-0.66683818393480676</v>
      </c>
      <c r="D44" s="2">
        <v>-1.9409433962264153</v>
      </c>
      <c r="E44" s="2">
        <v>0.63506694558033039</v>
      </c>
      <c r="F44" s="2">
        <v>-1.3114285714285703</v>
      </c>
      <c r="G44" s="2">
        <v>-3.7910002273243926</v>
      </c>
      <c r="H44" s="2">
        <v>-1.1132192414431081</v>
      </c>
      <c r="I44" s="2">
        <v>-0.29095846645367429</v>
      </c>
      <c r="J44" s="2">
        <v>-0.69000000000000106</v>
      </c>
      <c r="K44" s="16">
        <v>-1.3292061955469507</v>
      </c>
      <c r="L44" s="21">
        <v>0.63936851433635411</v>
      </c>
      <c r="M44" s="22">
        <v>3.9996000399960006E-2</v>
      </c>
    </row>
    <row r="45" spans="1:13" x14ac:dyDescent="0.25">
      <c r="A45" s="9">
        <v>42979</v>
      </c>
      <c r="B45" s="2">
        <v>-2.4882728299634578</v>
      </c>
      <c r="C45" s="2">
        <v>-0.84999690522857652</v>
      </c>
      <c r="D45" s="2">
        <v>-1.3323497267759563</v>
      </c>
      <c r="E45" s="2">
        <v>-1.5516867550109874</v>
      </c>
      <c r="F45" s="2">
        <v>-1.5464220183486248</v>
      </c>
      <c r="G45" s="2">
        <v>4.0408374355020467</v>
      </c>
      <c r="H45" s="2">
        <v>-0.60257594167679163</v>
      </c>
      <c r="I45" s="2">
        <v>-0.48812317600885669</v>
      </c>
      <c r="J45" s="2">
        <v>-1.9180487804878044</v>
      </c>
      <c r="K45" s="16">
        <v>-1.2719187089061563</v>
      </c>
      <c r="L45" s="21">
        <v>0.1887579153781816</v>
      </c>
      <c r="M45" s="22">
        <v>0.19178213549407871</v>
      </c>
    </row>
    <row r="46" spans="1:13" x14ac:dyDescent="0.25">
      <c r="A46" s="9">
        <v>43009</v>
      </c>
      <c r="B46" s="2">
        <v>0.26215294117647159</v>
      </c>
      <c r="C46" s="2">
        <v>-0.18948924618188268</v>
      </c>
      <c r="D46" s="2">
        <v>-1.0319836639439901</v>
      </c>
      <c r="E46" s="2">
        <v>4.3429167632739185E-2</v>
      </c>
      <c r="F46" s="2">
        <v>-1.1989655172413778</v>
      </c>
      <c r="G46" s="2">
        <v>-2.3550000000000004</v>
      </c>
      <c r="H46" s="2">
        <v>-0.66250969429164097</v>
      </c>
      <c r="I46" s="2">
        <v>-0.83559938426015035</v>
      </c>
      <c r="J46" s="2">
        <v>-0.18263157894736881</v>
      </c>
      <c r="K46" s="16">
        <v>-1.6151686306379525</v>
      </c>
      <c r="L46" s="21">
        <v>-1.1984168072278222E-2</v>
      </c>
      <c r="M46" s="22">
        <v>0.10109519797809605</v>
      </c>
    </row>
    <row r="47" spans="1:13" x14ac:dyDescent="0.25">
      <c r="A47" s="9">
        <v>43040</v>
      </c>
      <c r="B47" s="2">
        <v>-0.1431182703128171</v>
      </c>
      <c r="C47" s="2">
        <v>-1.0732493353740384</v>
      </c>
      <c r="D47" s="2">
        <v>-1.7527777777777782</v>
      </c>
      <c r="E47" s="2">
        <v>-1.4769602407730082</v>
      </c>
      <c r="F47" s="2">
        <v>-2.3829479768786133</v>
      </c>
      <c r="G47" s="2">
        <v>-3.5080046403712286</v>
      </c>
      <c r="H47" s="2">
        <v>-2.5207230275149715</v>
      </c>
      <c r="I47" s="2">
        <v>-0.98293266973424687</v>
      </c>
      <c r="J47" s="2">
        <v>-0.95731707317073012</v>
      </c>
      <c r="K47" s="16">
        <v>-8.1251323311454238E-2</v>
      </c>
      <c r="L47" s="21">
        <v>0.53507235135207332</v>
      </c>
      <c r="M47" s="22">
        <v>6.4146424905918584E-2</v>
      </c>
    </row>
    <row r="48" spans="1:13" x14ac:dyDescent="0.25">
      <c r="A48" s="9">
        <v>43070</v>
      </c>
      <c r="B48" s="2">
        <v>-0.17964793824341618</v>
      </c>
      <c r="C48" s="2">
        <v>-1.1472715699328844</v>
      </c>
      <c r="D48" s="2">
        <v>-0.55531046146412122</v>
      </c>
      <c r="E48" s="2">
        <v>-2.5080780160165332</v>
      </c>
      <c r="F48" s="2">
        <v>-1.9061702127659574</v>
      </c>
      <c r="G48" s="2">
        <v>25.040974564161182</v>
      </c>
      <c r="H48" s="2">
        <v>-1.2197233278322503</v>
      </c>
      <c r="I48" s="2">
        <v>-0.69757670402351712</v>
      </c>
      <c r="J48" s="2">
        <v>-5.9414285714285722</v>
      </c>
      <c r="K48" s="16">
        <v>-1.0941539648851029E-2</v>
      </c>
      <c r="L48" s="21">
        <v>0.17133940931241198</v>
      </c>
      <c r="M48" s="22">
        <v>5.8128269715171481E-2</v>
      </c>
    </row>
    <row r="49" spans="1:13" x14ac:dyDescent="0.25">
      <c r="A49" s="9">
        <v>43101</v>
      </c>
      <c r="B49" s="2">
        <v>-1.9961004878048771</v>
      </c>
      <c r="C49" s="2">
        <v>-1.1484403125322284</v>
      </c>
      <c r="D49" s="2">
        <v>9.7737556561074967E-3</v>
      </c>
      <c r="E49" s="2">
        <v>-1.8728065356212766</v>
      </c>
      <c r="F49" s="2">
        <v>-1.7339866369710475</v>
      </c>
      <c r="G49" s="2">
        <v>-4.7142857142856265E-2</v>
      </c>
      <c r="H49" s="2">
        <v>-1.5182358581016291</v>
      </c>
      <c r="I49" s="2">
        <v>-1.4942797494780788</v>
      </c>
      <c r="J49" s="2">
        <v>-2.3630769230769237</v>
      </c>
      <c r="K49" s="16">
        <v>-2.1970190641247833</v>
      </c>
      <c r="L49" s="21">
        <v>0.11085743317549937</v>
      </c>
      <c r="M49" s="22">
        <v>4.3893874365977373E-2</v>
      </c>
    </row>
    <row r="50" spans="1:13" x14ac:dyDescent="0.25">
      <c r="A50" s="9">
        <v>43132</v>
      </c>
      <c r="B50" s="2">
        <v>-2.9190028872130145</v>
      </c>
      <c r="C50" s="2">
        <v>-0.22436792361536728</v>
      </c>
      <c r="D50" s="2">
        <v>-0.88393621316108228</v>
      </c>
      <c r="E50" s="2">
        <v>-1.9293338267949658</v>
      </c>
      <c r="F50" s="2">
        <v>-2.068356164383562</v>
      </c>
      <c r="G50" s="2">
        <v>-4.0309599999999994</v>
      </c>
      <c r="H50" s="2">
        <v>-1.6971685002895192</v>
      </c>
      <c r="I50" s="2">
        <v>-1.602736805312827</v>
      </c>
      <c r="J50" s="2">
        <v>-0.88000000000000034</v>
      </c>
      <c r="K50" s="16">
        <v>-0.67328523862375245</v>
      </c>
      <c r="L50" s="21">
        <v>0.94755503859971657</v>
      </c>
      <c r="M50" s="22">
        <v>3.3655464205009859E-2</v>
      </c>
    </row>
    <row r="51" spans="1:13" x14ac:dyDescent="0.25">
      <c r="A51" s="9">
        <v>43160</v>
      </c>
      <c r="B51" s="2">
        <v>-3.6942699123982554</v>
      </c>
      <c r="C51" s="2">
        <v>-1.8162024977534557</v>
      </c>
      <c r="D51" s="2">
        <v>-4.0534777651083242</v>
      </c>
      <c r="E51" s="2">
        <v>-2.0728080163971767</v>
      </c>
      <c r="F51" s="2">
        <v>-2.0981042654028426</v>
      </c>
      <c r="G51" s="2">
        <v>0.94146414641464005</v>
      </c>
      <c r="H51" s="2">
        <v>-1.7535714285714294</v>
      </c>
      <c r="I51" s="2">
        <v>-1.6665213600697479</v>
      </c>
      <c r="J51" s="2">
        <v>-1.7</v>
      </c>
      <c r="K51" s="16">
        <v>-2.028936097310261</v>
      </c>
      <c r="L51" s="21">
        <v>-0.26248206911540978</v>
      </c>
      <c r="M51" s="22">
        <v>6.6438391168804622E-2</v>
      </c>
    </row>
    <row r="52" spans="1:13" x14ac:dyDescent="0.25">
      <c r="A52" s="9">
        <v>43191</v>
      </c>
      <c r="B52" s="2">
        <v>-2.6647425514579215</v>
      </c>
      <c r="C52" s="2">
        <v>-1.628655239441599</v>
      </c>
      <c r="D52" s="2">
        <v>-2.3818439716312048</v>
      </c>
      <c r="E52" s="2">
        <v>-2.4330075408872784</v>
      </c>
      <c r="F52" s="2">
        <v>-1.2223529411764709</v>
      </c>
      <c r="G52" s="2">
        <v>-4.0039344262295078</v>
      </c>
      <c r="H52" s="2">
        <v>-2.2985689218171186</v>
      </c>
      <c r="I52" s="2">
        <v>-1.7648826291079813</v>
      </c>
      <c r="J52" s="2">
        <v>-1.3694117647058821</v>
      </c>
      <c r="K52" s="16">
        <v>-2.0196723621631145</v>
      </c>
      <c r="L52" s="21">
        <v>-0.63941551342559233</v>
      </c>
      <c r="M52" s="22">
        <v>7.8868240745304879E-2</v>
      </c>
    </row>
    <row r="53" spans="1:13" x14ac:dyDescent="0.25">
      <c r="A53" s="9">
        <v>43221</v>
      </c>
      <c r="B53" s="2">
        <v>-3.3955356108987504</v>
      </c>
      <c r="C53" s="2">
        <v>-3.2201690206066202</v>
      </c>
      <c r="D53" s="2">
        <v>-1.1323867293884633</v>
      </c>
      <c r="E53" s="2">
        <v>-0.71378636775735482</v>
      </c>
      <c r="F53" s="2">
        <v>0.62748251748251849</v>
      </c>
      <c r="G53" s="2">
        <v>-1.89</v>
      </c>
      <c r="H53" s="2">
        <v>-1.9118933711737269</v>
      </c>
      <c r="I53" s="2">
        <v>-1.6619025401762566</v>
      </c>
      <c r="J53" s="2">
        <v>-1.4371698113207543</v>
      </c>
      <c r="K53" s="16">
        <v>-1.89</v>
      </c>
      <c r="L53" s="21">
        <v>0.54663236757609301</v>
      </c>
      <c r="M53" s="22">
        <v>4.9084572718794482E-2</v>
      </c>
    </row>
    <row r="54" spans="1:13" x14ac:dyDescent="0.25">
      <c r="A54" s="9">
        <v>43252</v>
      </c>
      <c r="B54" s="2">
        <v>-3.8140514447474452</v>
      </c>
      <c r="C54" s="2">
        <v>-1.0006047783347445</v>
      </c>
      <c r="D54" s="2">
        <v>-1.7335025617140187</v>
      </c>
      <c r="E54" s="2">
        <v>-4.7739723019760172</v>
      </c>
      <c r="F54" s="2">
        <v>-1.4044508670520233</v>
      </c>
      <c r="G54" s="2">
        <v>4.2299999999999995</v>
      </c>
      <c r="H54" s="2">
        <v>-1.8217627944760353</v>
      </c>
      <c r="I54" s="2">
        <v>-0.4014464982194339</v>
      </c>
      <c r="J54" s="2">
        <v>-1.2354545454545458</v>
      </c>
      <c r="K54" s="16">
        <v>-1.2934334763948496</v>
      </c>
      <c r="L54" s="21">
        <v>0.72188998437584229</v>
      </c>
      <c r="M54" s="22">
        <v>7.468259895444361E-2</v>
      </c>
    </row>
    <row r="55" spans="1:13" x14ac:dyDescent="0.25">
      <c r="A55" s="9">
        <v>43282</v>
      </c>
      <c r="B55" s="2">
        <v>-2.1106030756799377</v>
      </c>
      <c r="C55" s="2">
        <v>-2.7580196369586969</v>
      </c>
      <c r="D55" s="2">
        <v>-0.91137931034482844</v>
      </c>
      <c r="E55" s="2">
        <v>-2.0643046292179248</v>
      </c>
      <c r="F55" s="2">
        <v>-1.7900000000000003</v>
      </c>
      <c r="G55" s="2">
        <v>-1.1952980132450317</v>
      </c>
      <c r="H55" s="2">
        <v>-1.9536510500807758</v>
      </c>
      <c r="I55" s="2">
        <v>-1.2975356415478609</v>
      </c>
      <c r="J55" s="2">
        <v>-1.3693103448275865</v>
      </c>
      <c r="K55" s="16">
        <v>-2.4489437819420794</v>
      </c>
      <c r="L55" s="21">
        <v>2.3529312119119333E-2</v>
      </c>
      <c r="M55" s="22">
        <v>3.1687351465540005E-2</v>
      </c>
    </row>
    <row r="56" spans="1:13" x14ac:dyDescent="0.25">
      <c r="A56" s="9">
        <v>43313</v>
      </c>
      <c r="B56" s="2">
        <v>-3.7146708856197388</v>
      </c>
      <c r="C56" s="2">
        <v>-2.3796525044023351</v>
      </c>
      <c r="D56" s="2">
        <v>-1.9662244252267442</v>
      </c>
      <c r="E56" s="2">
        <v>-2.3341722040863679</v>
      </c>
      <c r="F56" s="2">
        <v>-2.3541530054644806</v>
      </c>
      <c r="G56" s="2">
        <v>-2.0699999999999998</v>
      </c>
      <c r="H56" s="2">
        <v>-0.54433058184014538</v>
      </c>
      <c r="I56" s="2">
        <v>-1.3990543431750102</v>
      </c>
      <c r="J56" s="2">
        <v>-3.2503278688524579</v>
      </c>
      <c r="K56" s="16">
        <v>-1.6044965016384718</v>
      </c>
      <c r="L56" s="21">
        <v>0.29598383729088756</v>
      </c>
      <c r="M56" s="22">
        <v>7.2615049469002449E-2</v>
      </c>
    </row>
    <row r="57" spans="1:13" x14ac:dyDescent="0.25">
      <c r="A57" s="9">
        <v>43344</v>
      </c>
      <c r="B57" s="2">
        <v>-0.52646963321743123</v>
      </c>
      <c r="C57" s="2">
        <v>-2.2461077089091752</v>
      </c>
      <c r="D57" s="2">
        <v>0.40207026348808084</v>
      </c>
      <c r="E57" s="2">
        <v>-2.3085943390631738</v>
      </c>
      <c r="F57" s="2">
        <v>-1.7246268656716428</v>
      </c>
      <c r="G57" s="2">
        <v>1.5021739130434768</v>
      </c>
      <c r="H57" s="2">
        <v>-1.6977360007144771</v>
      </c>
      <c r="I57" s="2">
        <v>-1.2949412400378215</v>
      </c>
      <c r="J57" s="2">
        <v>-1.4954545454545456</v>
      </c>
      <c r="K57" s="16">
        <v>-1.7540583169920718</v>
      </c>
      <c r="L57" s="21">
        <v>0.62972490990514063</v>
      </c>
      <c r="M57" s="22">
        <v>7.9058735990326937E-2</v>
      </c>
    </row>
    <row r="58" spans="1:13" x14ac:dyDescent="0.25">
      <c r="A58" s="9">
        <v>43374</v>
      </c>
      <c r="B58" s="2">
        <v>-3.1604667722625761</v>
      </c>
      <c r="C58" s="2">
        <v>-1.4855509397299747</v>
      </c>
      <c r="D58" s="2">
        <v>-3.1860165545783765</v>
      </c>
      <c r="E58" s="2">
        <v>-1.9149903414408005</v>
      </c>
      <c r="F58" s="2">
        <v>-2.4845945945945944</v>
      </c>
      <c r="G58" s="2">
        <v>0.16711428571428533</v>
      </c>
      <c r="H58" s="2">
        <v>-2.1309501678285558</v>
      </c>
      <c r="I58" s="2">
        <v>-2.1901324002269722</v>
      </c>
      <c r="J58" s="2">
        <v>-2.4141379310344822</v>
      </c>
      <c r="K58" s="16">
        <v>-2.29</v>
      </c>
      <c r="L58" s="21">
        <v>-1.4266024782646186E-2</v>
      </c>
      <c r="M58" s="22">
        <v>5.5105760671442502E-2</v>
      </c>
    </row>
    <row r="59" spans="1:13" x14ac:dyDescent="0.25">
      <c r="A59" s="9">
        <v>43405</v>
      </c>
      <c r="B59" s="2">
        <v>-2.9233522923755819</v>
      </c>
      <c r="C59" s="2">
        <v>-4.0286379905808474</v>
      </c>
      <c r="D59" s="2">
        <v>-3.4470965337308979</v>
      </c>
      <c r="E59" s="2">
        <v>-3.5090406853318004</v>
      </c>
      <c r="F59" s="2">
        <v>-1.2307692307692353E-2</v>
      </c>
      <c r="G59" s="2">
        <v>-1.6559433516667026</v>
      </c>
      <c r="H59" s="2">
        <v>-2.9672436931962975</v>
      </c>
      <c r="I59" s="2">
        <v>-3.7553779778653156</v>
      </c>
      <c r="J59" s="2">
        <v>-2.5290592334494781</v>
      </c>
      <c r="K59" s="16">
        <v>-2.6379267084846476</v>
      </c>
      <c r="L59" s="21">
        <v>-0.90450660196587473</v>
      </c>
      <c r="M59" s="22">
        <v>4.8296216796350953E-2</v>
      </c>
    </row>
    <row r="60" spans="1:13" x14ac:dyDescent="0.25">
      <c r="A60" s="9">
        <v>43435</v>
      </c>
      <c r="B60" s="2">
        <v>-3.6000007058827679</v>
      </c>
      <c r="C60" s="2">
        <v>-2.9131204514444256</v>
      </c>
      <c r="D60" s="2">
        <v>-2.1828054298642527</v>
      </c>
      <c r="E60" s="2">
        <v>-7.4296539296771602E-2</v>
      </c>
      <c r="F60" s="2">
        <v>-2.5474654377880186</v>
      </c>
      <c r="G60" s="2">
        <v>1.7797752808988769</v>
      </c>
      <c r="H60" s="2">
        <v>-2.2825641946489492</v>
      </c>
      <c r="I60" s="2">
        <v>-0.8258522727272728</v>
      </c>
      <c r="J60" s="2">
        <v>-3.3361702127659565</v>
      </c>
      <c r="K60" s="16">
        <v>-2.4</v>
      </c>
      <c r="L60" s="21">
        <v>-1.1950483578694467E-2</v>
      </c>
      <c r="M60" s="22">
        <v>9.2368907204774767E-2</v>
      </c>
    </row>
    <row r="61" spans="1:13" x14ac:dyDescent="0.25">
      <c r="A61" s="9">
        <v>43466</v>
      </c>
      <c r="B61" s="2">
        <v>-3.5364713571708215</v>
      </c>
      <c r="C61" s="2">
        <v>-3.1204696523501747</v>
      </c>
      <c r="D61" s="2">
        <v>-4.0884848484848488</v>
      </c>
      <c r="E61" s="2">
        <v>-4.2196154441588991</v>
      </c>
      <c r="F61" s="2">
        <v>-3.6663763608087079</v>
      </c>
      <c r="G61" s="2">
        <v>-1.6599999999999993</v>
      </c>
      <c r="H61" s="2">
        <v>-3.4077460656174972</v>
      </c>
      <c r="I61" s="2">
        <v>-3.1872744396308166</v>
      </c>
      <c r="J61" s="2">
        <v>-4.0676923076923082</v>
      </c>
      <c r="K61" s="16">
        <v>-2.36</v>
      </c>
      <c r="L61" s="21">
        <v>-1.2441062399021259</v>
      </c>
      <c r="M61" s="22">
        <v>7.7974736185475901E-2</v>
      </c>
    </row>
    <row r="62" spans="1:13" x14ac:dyDescent="0.25">
      <c r="A62" s="9">
        <v>43497</v>
      </c>
      <c r="B62" s="2">
        <v>0.7304370510413416</v>
      </c>
      <c r="C62" s="2">
        <v>-1.0250714577378535</v>
      </c>
      <c r="D62" s="2">
        <v>-0.35232475808354824</v>
      </c>
      <c r="E62" s="2">
        <v>0.14986809321412764</v>
      </c>
      <c r="F62" s="2">
        <v>0.46910994764397751</v>
      </c>
      <c r="G62" s="2">
        <v>-2.0220472440944892</v>
      </c>
      <c r="H62" s="2">
        <v>-1.240331222601073</v>
      </c>
      <c r="I62" s="2">
        <v>-0.60109245397531708</v>
      </c>
      <c r="J62" s="2">
        <v>-0.51659192825112044</v>
      </c>
      <c r="K62" s="16">
        <v>-2.6390843577787204</v>
      </c>
      <c r="L62" s="21">
        <v>1.0342435023286094</v>
      </c>
      <c r="M62" s="22">
        <v>2.7357909855687024E-2</v>
      </c>
    </row>
    <row r="63" spans="1:13" x14ac:dyDescent="0.25">
      <c r="A63" s="9">
        <v>43525</v>
      </c>
      <c r="B63" s="2">
        <v>-2.763786444704853</v>
      </c>
      <c r="C63" s="2">
        <v>-1.7327667057444307</v>
      </c>
      <c r="D63" s="2">
        <v>-1.0677419354838718</v>
      </c>
      <c r="E63" s="2">
        <v>-2.5489952026593135</v>
      </c>
      <c r="F63" s="2">
        <v>-1.6063380281690134</v>
      </c>
      <c r="G63" s="2">
        <v>-1.8309160305343504</v>
      </c>
      <c r="H63" s="2">
        <v>-1.4193790530336674</v>
      </c>
      <c r="I63" s="2">
        <v>-1.6476776917663627</v>
      </c>
      <c r="J63" s="2">
        <v>-2.3034883720930242</v>
      </c>
      <c r="K63" s="16">
        <v>-4.0356055363321799</v>
      </c>
      <c r="L63" s="21">
        <v>0.48179628595364293</v>
      </c>
      <c r="M63" s="22">
        <v>3.3471682956219037E-2</v>
      </c>
    </row>
    <row r="64" spans="1:13" x14ac:dyDescent="0.25">
      <c r="A64" s="9">
        <v>43556</v>
      </c>
      <c r="B64" s="2">
        <v>-4.0942928571428574</v>
      </c>
      <c r="C64" s="2">
        <v>-2.9189505226480841</v>
      </c>
      <c r="D64" s="2">
        <v>-2.2488524590163932</v>
      </c>
      <c r="E64" s="2">
        <v>-2.0284904355842346</v>
      </c>
      <c r="F64" s="2">
        <v>-3.5736339522546419</v>
      </c>
      <c r="G64" s="2">
        <v>-1.7068439024390236</v>
      </c>
      <c r="H64" s="2">
        <v>-1.8358944765045342</v>
      </c>
      <c r="I64" s="2">
        <v>-2.0170083102493068</v>
      </c>
      <c r="J64" s="2">
        <v>-2.1020077220077216</v>
      </c>
      <c r="K64" s="16">
        <v>-3.1483420221010037</v>
      </c>
      <c r="L64" s="21">
        <v>0.54843901409061291</v>
      </c>
      <c r="M64" s="22">
        <v>6.2094659859252103E-2</v>
      </c>
    </row>
    <row r="65" spans="1:13" x14ac:dyDescent="0.25">
      <c r="A65" s="9">
        <v>43586</v>
      </c>
      <c r="B65" s="2">
        <v>-2.2166666087962561</v>
      </c>
      <c r="C65" s="2">
        <v>-1.6345739540425548</v>
      </c>
      <c r="D65" s="2">
        <v>0.12162162162162238</v>
      </c>
      <c r="E65" s="2">
        <v>-1.9584939880432595</v>
      </c>
      <c r="F65" s="2">
        <v>0.35095729013254662</v>
      </c>
      <c r="G65" s="2">
        <v>-1.9674222487554842</v>
      </c>
      <c r="H65" s="2">
        <v>-3.0712933753943208</v>
      </c>
      <c r="I65" s="2">
        <v>-1.752785545278555</v>
      </c>
      <c r="J65" s="2">
        <v>-3.1150943396226403</v>
      </c>
      <c r="K65" s="16">
        <v>-2.2999999999999998</v>
      </c>
      <c r="L65" s="21">
        <v>0.43875043124082408</v>
      </c>
      <c r="M65" s="22">
        <v>7.7667582745847771E-2</v>
      </c>
    </row>
    <row r="66" spans="1:13" x14ac:dyDescent="0.25">
      <c r="A66" s="9">
        <v>43617</v>
      </c>
      <c r="B66" s="2">
        <v>-4.3972347015411728</v>
      </c>
      <c r="C66" s="2">
        <v>-1.3487514193247987</v>
      </c>
      <c r="D66" s="2">
        <v>-2.5927436281859073</v>
      </c>
      <c r="E66" s="2">
        <v>-5.0334093877906483</v>
      </c>
      <c r="F66" s="2">
        <v>-1.4286127864897451</v>
      </c>
      <c r="G66" s="2">
        <v>-1.6485393258426964</v>
      </c>
      <c r="H66" s="2">
        <v>-3.0155246523388115</v>
      </c>
      <c r="I66" s="2">
        <v>-2.3953672083933339</v>
      </c>
      <c r="J66" s="2">
        <v>-3.4403238866396775</v>
      </c>
      <c r="K66" s="16">
        <v>-2.08</v>
      </c>
      <c r="L66" s="21">
        <v>-1.1979024361926507</v>
      </c>
      <c r="M66" s="22">
        <v>8.7477289549828405E-2</v>
      </c>
    </row>
    <row r="67" spans="1:13" x14ac:dyDescent="0.25">
      <c r="A67" s="9">
        <v>43647</v>
      </c>
      <c r="B67" s="2">
        <v>-2.8605128205128203</v>
      </c>
      <c r="C67" s="2">
        <v>-1.5864871136010668</v>
      </c>
      <c r="D67" s="2">
        <v>-0.96498042286609409</v>
      </c>
      <c r="E67" s="2">
        <v>0.68293563851292882</v>
      </c>
      <c r="F67" s="2">
        <v>-1.1063615560640736</v>
      </c>
      <c r="G67" s="2">
        <v>-1.0248156182212587</v>
      </c>
      <c r="H67" s="2">
        <v>-1.1208043875685565</v>
      </c>
      <c r="I67" s="2">
        <v>-0.64814450958643777</v>
      </c>
      <c r="J67" s="2">
        <v>-0.61534246575342344</v>
      </c>
      <c r="K67" s="16">
        <v>-2.04</v>
      </c>
      <c r="L67" s="21">
        <v>1.3587579284668141</v>
      </c>
      <c r="M67" s="22">
        <v>0.13454834566693169</v>
      </c>
    </row>
    <row r="68" spans="1:13" x14ac:dyDescent="0.25">
      <c r="A68" s="9">
        <v>43678</v>
      </c>
      <c r="B68" s="2">
        <v>-2.7206422018348624</v>
      </c>
      <c r="C68" s="2">
        <v>-0.95244867206630401</v>
      </c>
      <c r="D68" s="2">
        <v>0.44586028460543381</v>
      </c>
      <c r="E68" s="2">
        <v>-2.2328314529163462</v>
      </c>
      <c r="F68" s="2">
        <v>-2.0646496815286621</v>
      </c>
      <c r="G68" s="2">
        <v>-3.0540000000000003</v>
      </c>
      <c r="H68" s="2">
        <v>-2.6621752419765659</v>
      </c>
      <c r="I68" s="2">
        <v>-1.8642410904444118</v>
      </c>
      <c r="J68" s="2">
        <v>-2.0969387755102051</v>
      </c>
      <c r="K68" s="16">
        <v>-1.95</v>
      </c>
      <c r="L68" s="21">
        <v>5.0992901775713577E-2</v>
      </c>
      <c r="M68" s="22">
        <v>0.11876484560570071</v>
      </c>
    </row>
    <row r="69" spans="1:13" x14ac:dyDescent="0.25">
      <c r="A69" s="9">
        <v>43709</v>
      </c>
      <c r="B69" s="2">
        <v>-2.428235294117647</v>
      </c>
      <c r="C69" s="2">
        <v>-1.0452599849284101</v>
      </c>
      <c r="D69" s="2">
        <v>-1.9593386053199136</v>
      </c>
      <c r="E69" s="2">
        <v>-0.88732824427480972</v>
      </c>
      <c r="F69" s="2">
        <v>-4.3866237942122188</v>
      </c>
      <c r="G69" s="2">
        <v>-2.7651101321585907</v>
      </c>
      <c r="H69" s="2">
        <v>-2.1746872461413491</v>
      </c>
      <c r="I69" s="2">
        <v>-2.3446992481203015</v>
      </c>
      <c r="J69" s="2">
        <v>-1.7408264462809917</v>
      </c>
      <c r="K69" s="16">
        <v>-1.84</v>
      </c>
      <c r="L69" s="21">
        <v>-0.16943655743063468</v>
      </c>
      <c r="M69" s="22">
        <v>3.1111940762864786E-2</v>
      </c>
    </row>
    <row r="70" spans="1:13" x14ac:dyDescent="0.25">
      <c r="A70" s="9">
        <v>43739</v>
      </c>
      <c r="B70" s="2">
        <v>-3.7677319587628864</v>
      </c>
      <c r="C70" s="2">
        <v>-1.5126128788395674</v>
      </c>
      <c r="D70" s="2">
        <v>-1.8454713784339831</v>
      </c>
      <c r="E70" s="2">
        <v>-1.3758229732747711</v>
      </c>
      <c r="F70" s="2">
        <v>-1.8365306122448968</v>
      </c>
      <c r="G70" s="2">
        <v>-1.2236038186157518</v>
      </c>
      <c r="H70" s="2">
        <v>-1.5400835654596097</v>
      </c>
      <c r="I70" s="2">
        <v>-2.6814495952906552</v>
      </c>
      <c r="J70" s="2">
        <v>-2.0509836065573763</v>
      </c>
      <c r="K70" s="16">
        <v>-1.51</v>
      </c>
      <c r="L70" s="21">
        <v>-1.0703419581328316E-2</v>
      </c>
      <c r="M70" s="22">
        <v>4.4365572315882874E-2</v>
      </c>
    </row>
    <row r="71" spans="1:13" x14ac:dyDescent="0.25">
      <c r="A71" s="9">
        <v>43770</v>
      </c>
      <c r="B71" s="2">
        <v>-3.2011428571428566</v>
      </c>
      <c r="C71" s="2">
        <v>-2.0709470078033663</v>
      </c>
      <c r="D71" s="2">
        <v>-2.2846015936254975</v>
      </c>
      <c r="E71" s="2">
        <v>-1.6110630779197836</v>
      </c>
      <c r="F71" s="2">
        <v>-2.298461538461539</v>
      </c>
      <c r="G71" s="2">
        <v>-0.27328671328671295</v>
      </c>
      <c r="H71" s="2">
        <v>-1.0361239877129296</v>
      </c>
      <c r="I71" s="2">
        <v>-1.2912313128567543</v>
      </c>
      <c r="J71" s="2">
        <v>-2.0369098712446352</v>
      </c>
      <c r="K71" s="16">
        <v>-1.56</v>
      </c>
      <c r="L71" s="21">
        <v>0.74495779618799196</v>
      </c>
      <c r="M71" s="22">
        <v>8.3942918815205658E-2</v>
      </c>
    </row>
    <row r="72" spans="1:13" x14ac:dyDescent="0.25">
      <c r="A72" s="9">
        <v>43800</v>
      </c>
      <c r="B72" s="2">
        <v>-0.46086496028243618</v>
      </c>
      <c r="C72" s="2">
        <v>-1.8744112556190202</v>
      </c>
      <c r="D72" s="2">
        <v>-0.34496356168013764</v>
      </c>
      <c r="E72" s="2">
        <v>-0.71005722566430518</v>
      </c>
      <c r="F72" s="2">
        <v>-0.28602086438151941</v>
      </c>
      <c r="G72" s="2">
        <v>0.12210526315789472</v>
      </c>
      <c r="H72" s="2">
        <v>-1.0629896539422052</v>
      </c>
      <c r="I72" s="2">
        <v>-1.7190748125697881</v>
      </c>
      <c r="J72" s="2">
        <v>-1.9351246983105386</v>
      </c>
      <c r="K72" s="16">
        <v>-1.52</v>
      </c>
      <c r="L72" s="21">
        <v>0.21774819051680111</v>
      </c>
      <c r="M72" s="22">
        <v>7.9787234042553196E-2</v>
      </c>
    </row>
    <row r="73" spans="1:13" x14ac:dyDescent="0.25">
      <c r="A73" s="9">
        <v>43831</v>
      </c>
      <c r="B73" s="2">
        <v>-3.4648499594484998</v>
      </c>
      <c r="C73" s="2">
        <v>-1.4413414098849966</v>
      </c>
      <c r="D73" s="2">
        <v>-1.970398262128892</v>
      </c>
      <c r="E73" s="2">
        <v>-1.2655102054951064</v>
      </c>
      <c r="F73" s="2">
        <v>-2.5254054054054054</v>
      </c>
      <c r="G73" s="2">
        <v>-1.2977777777777777</v>
      </c>
      <c r="H73" s="2">
        <v>-2.0798419108170814</v>
      </c>
      <c r="I73" s="2">
        <v>-1.0184590429845892</v>
      </c>
      <c r="J73" s="2">
        <v>-1.4088888888888889</v>
      </c>
      <c r="K73" s="16">
        <v>-1.52</v>
      </c>
      <c r="L73" s="21">
        <v>0.61205450304840547</v>
      </c>
      <c r="M73" s="22">
        <v>0.16877637130801687</v>
      </c>
    </row>
    <row r="74" spans="1:13" x14ac:dyDescent="0.25">
      <c r="A74" s="9">
        <v>43862</v>
      </c>
      <c r="B74" s="2">
        <v>-1.4416534924987907</v>
      </c>
      <c r="C74" s="2">
        <v>-0.55993982033316958</v>
      </c>
      <c r="D74" s="2">
        <v>-0.1259874608150473</v>
      </c>
      <c r="E74" s="2">
        <v>0.70774695649224983</v>
      </c>
      <c r="F74" s="2">
        <v>-1.0199115044247788</v>
      </c>
      <c r="G74" s="2">
        <v>-0.26818181818181819</v>
      </c>
      <c r="H74" s="2">
        <v>-0.96665465032444076</v>
      </c>
      <c r="I74" s="2">
        <v>-0.13644384471662896</v>
      </c>
      <c r="J74" s="2">
        <v>1.605504587155937E-2</v>
      </c>
      <c r="K74" s="16">
        <v>-1.25</v>
      </c>
      <c r="L74" s="21">
        <v>0.54023613689115035</v>
      </c>
      <c r="M74" s="22">
        <v>5.8053280010320583E-2</v>
      </c>
    </row>
    <row r="75" spans="1:13" x14ac:dyDescent="0.25">
      <c r="A75" s="9">
        <v>43891</v>
      </c>
      <c r="B75" s="2">
        <v>-1.0935975275389567</v>
      </c>
      <c r="C75" s="2">
        <v>-1.0257938144329894</v>
      </c>
      <c r="D75" s="2">
        <v>-2.7089451960559505</v>
      </c>
      <c r="E75" s="2">
        <v>1.8351895043731787</v>
      </c>
      <c r="F75" s="2">
        <v>2.0434008683068021</v>
      </c>
      <c r="G75" s="2">
        <v>-2.3284873949579832</v>
      </c>
      <c r="H75" s="2">
        <v>-1.1094717379820385</v>
      </c>
      <c r="I75" s="2">
        <v>-0.89134498480243207</v>
      </c>
      <c r="J75" s="2">
        <v>-0.9066804979253118</v>
      </c>
      <c r="K75" s="16">
        <v>1.8874193548387102</v>
      </c>
      <c r="L75" s="21">
        <v>-0.32642175356088987</v>
      </c>
      <c r="M75" s="22">
        <v>6.1961358643609528E-2</v>
      </c>
    </row>
    <row r="76" spans="1:13" x14ac:dyDescent="0.25">
      <c r="A76" s="9">
        <v>43922</v>
      </c>
      <c r="B76" s="2">
        <v>5.6978464285714292</v>
      </c>
      <c r="C76" s="2">
        <v>-1.1257451114616508</v>
      </c>
      <c r="D76" s="2">
        <v>-4.1257090589784866</v>
      </c>
      <c r="E76" s="2">
        <v>-0.79446562970396273</v>
      </c>
      <c r="F76" s="2">
        <v>-6.465460122699386</v>
      </c>
      <c r="G76" s="2">
        <v>-3.9250515463917526</v>
      </c>
      <c r="H76" s="2">
        <v>-0.76306953515174836</v>
      </c>
      <c r="I76" s="2">
        <v>-1.393937007874015</v>
      </c>
      <c r="J76" s="2">
        <v>-0.09</v>
      </c>
      <c r="K76" s="16">
        <v>-4.6408849557522123</v>
      </c>
      <c r="L76" s="21">
        <v>-1.8810900677856894</v>
      </c>
      <c r="M76" s="22">
        <v>3.0354541039339485E-2</v>
      </c>
    </row>
    <row r="77" spans="1:13" x14ac:dyDescent="0.25">
      <c r="A77" s="9">
        <v>43952</v>
      </c>
      <c r="B77" s="2">
        <v>5.2073107741903222</v>
      </c>
      <c r="C77" s="2">
        <v>0.68361379849506365</v>
      </c>
      <c r="D77" s="2">
        <v>6.0915325248070564</v>
      </c>
      <c r="E77" s="2">
        <v>1.2032835820895507</v>
      </c>
      <c r="F77" s="2">
        <v>4.2893193717277516</v>
      </c>
      <c r="G77" s="2">
        <v>-0.14000000000000001</v>
      </c>
      <c r="H77" s="2">
        <v>0.3129914529914522</v>
      </c>
      <c r="I77" s="2">
        <v>1.8816573578023479</v>
      </c>
      <c r="J77" s="2">
        <v>-0.14000000000000001</v>
      </c>
      <c r="K77" s="16">
        <v>4.4361805761805746</v>
      </c>
      <c r="L77" s="21">
        <v>1.9746336302761454</v>
      </c>
      <c r="M77" s="22">
        <v>6.7190754552173618E-2</v>
      </c>
    </row>
    <row r="78" spans="1:13" x14ac:dyDescent="0.25">
      <c r="A78" s="9">
        <v>43983</v>
      </c>
      <c r="B78" s="2">
        <v>-0.35999508333128455</v>
      </c>
      <c r="C78" s="2">
        <v>-6.4537004042856519E-2</v>
      </c>
      <c r="D78" s="2">
        <v>4.2655442670537003</v>
      </c>
      <c r="E78" s="2">
        <v>0.32897411313518776</v>
      </c>
      <c r="F78" s="2">
        <v>3.9929636711281056</v>
      </c>
      <c r="G78" s="2">
        <v>4.5672727272727274</v>
      </c>
      <c r="H78" s="2">
        <v>0.59301500147073305</v>
      </c>
      <c r="I78" s="2">
        <v>0.66001755926251038</v>
      </c>
      <c r="J78" s="2">
        <v>-0.48000000000000032</v>
      </c>
      <c r="K78" s="16">
        <v>1.3519329176521178</v>
      </c>
      <c r="L78" s="21">
        <v>1.212239251770437</v>
      </c>
      <c r="M78" s="22">
        <v>3.8192234245703373E-2</v>
      </c>
    </row>
    <row r="79" spans="1:13" x14ac:dyDescent="0.25">
      <c r="A79" s="9">
        <v>44013</v>
      </c>
      <c r="B79" s="2">
        <v>5.198125423728813</v>
      </c>
      <c r="C79" s="2">
        <v>-0.90761297293766285</v>
      </c>
      <c r="D79" s="2">
        <v>-0.28722192768529281</v>
      </c>
      <c r="E79" s="2">
        <v>-1.1623169046522348</v>
      </c>
      <c r="F79" s="2">
        <v>-0.12409090909090988</v>
      </c>
      <c r="G79" s="2">
        <v>4.1100000000000003</v>
      </c>
      <c r="H79" s="2">
        <v>-0.14203432050927195</v>
      </c>
      <c r="I79" s="2">
        <v>-0.5584289823311881</v>
      </c>
      <c r="J79" s="2">
        <v>-0.309178082191781</v>
      </c>
      <c r="K79" s="16">
        <v>-0.09</v>
      </c>
      <c r="L79" s="21">
        <v>0.85054834465235118</v>
      </c>
      <c r="M79" s="22">
        <v>9.8195654842273231E-2</v>
      </c>
    </row>
    <row r="80" spans="1:13" x14ac:dyDescent="0.25">
      <c r="A80" s="9">
        <v>44044</v>
      </c>
      <c r="B80" s="2">
        <v>-2.3688248581322693</v>
      </c>
      <c r="C80" s="2">
        <v>0.49168254744030204</v>
      </c>
      <c r="D80" s="2">
        <v>0.46697283311772231</v>
      </c>
      <c r="E80" s="2">
        <v>1.2192867981790598</v>
      </c>
      <c r="F80" s="2">
        <v>0.76179487179487304</v>
      </c>
      <c r="G80" s="2">
        <v>7.3489275362318827</v>
      </c>
      <c r="H80" s="2">
        <v>1.5011934766493693</v>
      </c>
      <c r="I80" s="2">
        <v>-2.0490307867729665E-2</v>
      </c>
      <c r="J80" s="2">
        <v>1.627906976744295E-3</v>
      </c>
      <c r="K80" s="16">
        <v>-0.11</v>
      </c>
      <c r="L80" s="21">
        <v>0.90570420993749534</v>
      </c>
      <c r="M80" s="22">
        <v>5.5710306406685235E-2</v>
      </c>
    </row>
    <row r="81" spans="1:13" x14ac:dyDescent="0.25">
      <c r="A81" s="9">
        <v>44075</v>
      </c>
      <c r="B81" s="2">
        <v>-2.0130405166960266</v>
      </c>
      <c r="C81" s="2">
        <v>0.52263215098360605</v>
      </c>
      <c r="D81" s="2">
        <v>8.3912775149145635E-2</v>
      </c>
      <c r="E81" s="2">
        <v>0.91639344262295042</v>
      </c>
      <c r="F81" s="2">
        <v>-2.2832669322709167</v>
      </c>
      <c r="G81" s="2">
        <v>1.0082488124373445</v>
      </c>
      <c r="H81" s="2">
        <v>0.31467200392124861</v>
      </c>
      <c r="I81" s="2">
        <v>0.11108229191228425</v>
      </c>
      <c r="J81" s="2">
        <v>0.12119815668202785</v>
      </c>
      <c r="K81" s="16">
        <v>2.2234676341416844</v>
      </c>
      <c r="L81" s="21">
        <v>1.3435777941000886</v>
      </c>
      <c r="M81" s="22">
        <v>8.7006960556844551E-2</v>
      </c>
    </row>
    <row r="82" spans="1:13" x14ac:dyDescent="0.25">
      <c r="A82" s="9">
        <v>44105</v>
      </c>
      <c r="B82" s="2">
        <v>-4.1244793252066057</v>
      </c>
      <c r="C82" s="2">
        <v>-1.0972204616077521</v>
      </c>
      <c r="D82" s="2">
        <v>-0.24560733461655196</v>
      </c>
      <c r="E82" s="2">
        <v>-1.6592695214105804</v>
      </c>
      <c r="F82" s="2">
        <v>-0.47961038961038993</v>
      </c>
      <c r="G82" s="2">
        <v>2.0590854545454547</v>
      </c>
      <c r="H82" s="2">
        <v>-0.82815540113708208</v>
      </c>
      <c r="I82" s="2">
        <v>-0.56604041153026241</v>
      </c>
      <c r="J82" s="2">
        <v>3.1679185520361997</v>
      </c>
      <c r="K82" s="16">
        <v>-0.56963525835866258</v>
      </c>
      <c r="L82" s="21">
        <v>-0.69275335438620445</v>
      </c>
      <c r="M82" s="22">
        <v>6.1846106272225941E-2</v>
      </c>
    </row>
    <row r="83" spans="1:13" x14ac:dyDescent="0.25">
      <c r="A83" s="9">
        <v>44136</v>
      </c>
      <c r="B83" s="2">
        <v>1.7589610389610384</v>
      </c>
      <c r="C83" s="2">
        <v>-0.66420942746883271</v>
      </c>
      <c r="D83" s="2">
        <v>-1.5592158472749673</v>
      </c>
      <c r="E83" s="2">
        <v>5.6198985752235489E-2</v>
      </c>
      <c r="F83" s="2">
        <v>0.46362416107382637</v>
      </c>
      <c r="G83" s="2">
        <v>-2.9851668871113679</v>
      </c>
      <c r="H83" s="2">
        <v>-0.41723180479596023</v>
      </c>
      <c r="I83" s="2">
        <v>-1.1235286169288685</v>
      </c>
      <c r="J83" s="2">
        <v>5.4092526690392162E-3</v>
      </c>
      <c r="K83" s="16">
        <v>-0.08</v>
      </c>
      <c r="L83" s="21">
        <v>-0.51637544029283844</v>
      </c>
      <c r="M83" s="22">
        <v>5.0220411807376818E-2</v>
      </c>
    </row>
    <row r="84" spans="1:13" x14ac:dyDescent="0.25">
      <c r="A84" s="9">
        <v>44166</v>
      </c>
      <c r="B84" s="2">
        <v>3.0451283783783789</v>
      </c>
      <c r="C84" s="2">
        <v>9.0839490557087205E-2</v>
      </c>
      <c r="D84" s="2">
        <v>2.4709927417466644</v>
      </c>
      <c r="E84" s="2">
        <v>-1.6430085959885392</v>
      </c>
      <c r="F84" s="2">
        <v>1.7976404494382012</v>
      </c>
      <c r="G84" s="2">
        <v>5.0005478588748016</v>
      </c>
      <c r="H84" s="2">
        <v>0.26944939832049108</v>
      </c>
      <c r="I84" s="2">
        <v>0.6425581395348845</v>
      </c>
      <c r="J84" s="2">
        <v>0.33402826855123713</v>
      </c>
      <c r="K84" s="16">
        <v>-1.3078265832382125</v>
      </c>
      <c r="L84" s="21">
        <v>1.4837344245612891</v>
      </c>
      <c r="M84" s="22">
        <v>0.16704450542894642</v>
      </c>
    </row>
    <row r="85" spans="1:13" x14ac:dyDescent="0.25">
      <c r="A85" s="9">
        <v>44197</v>
      </c>
      <c r="B85" s="2">
        <v>-1.0242861447706004</v>
      </c>
      <c r="C85" s="2">
        <v>8.4266973009973628E-2</v>
      </c>
      <c r="D85" s="2">
        <v>0.11713458755426931</v>
      </c>
      <c r="E85" s="2">
        <v>1.6185518376302801</v>
      </c>
      <c r="F85" s="2">
        <v>2.3033841886269082</v>
      </c>
      <c r="G85" s="2">
        <v>3.0428442857142857</v>
      </c>
      <c r="H85" s="2">
        <v>1.3460687568294525</v>
      </c>
      <c r="I85" s="2">
        <v>0.8754919053549195</v>
      </c>
      <c r="J85" s="2">
        <v>3.0526279863481216</v>
      </c>
      <c r="K85" s="16">
        <v>-0.06</v>
      </c>
      <c r="L85" s="21">
        <v>0.41712262942852646</v>
      </c>
      <c r="M85" s="22">
        <v>7.0397747272087294E-2</v>
      </c>
    </row>
    <row r="86" spans="1:13" x14ac:dyDescent="0.25">
      <c r="A86" s="9">
        <v>44228</v>
      </c>
      <c r="B86" s="2">
        <v>2.0570942218903991</v>
      </c>
      <c r="C86" s="2">
        <v>-0.52870700971383755</v>
      </c>
      <c r="D86" s="2">
        <v>1.1225784369652021</v>
      </c>
      <c r="E86" s="2">
        <v>0.34113570741097216</v>
      </c>
      <c r="F86" s="2">
        <v>-0.47105446118192418</v>
      </c>
      <c r="G86" s="2">
        <v>2.5343529293583393</v>
      </c>
      <c r="H86" s="2">
        <v>-5.5348732224812652E-2</v>
      </c>
      <c r="I86" s="2">
        <v>-1.0209611829944545</v>
      </c>
      <c r="J86" s="2">
        <v>-0.65788617886178846</v>
      </c>
      <c r="K86" s="16">
        <v>0.16002522199060881</v>
      </c>
      <c r="L86" s="21">
        <v>0.33576551719857012</v>
      </c>
      <c r="M86" s="22">
        <v>9.0991810737033663E-2</v>
      </c>
    </row>
    <row r="87" spans="1:13" x14ac:dyDescent="0.25">
      <c r="A87" s="9">
        <v>44256</v>
      </c>
      <c r="B87" s="2">
        <v>2.8460231404958676</v>
      </c>
      <c r="C87" s="2">
        <v>1.7206032223997837E-2</v>
      </c>
      <c r="D87" s="2">
        <v>1.4781910375314207</v>
      </c>
      <c r="E87" s="2">
        <v>-1.0262686567164185</v>
      </c>
      <c r="F87" s="2">
        <v>-1.3280769230769236</v>
      </c>
      <c r="G87" s="2">
        <v>0.6485105974348585</v>
      </c>
      <c r="H87" s="2">
        <v>-1.8118291396715389</v>
      </c>
      <c r="I87" s="2">
        <v>-0.20573348095214108</v>
      </c>
      <c r="J87" s="2">
        <v>-0.47571428571428531</v>
      </c>
      <c r="K87" s="16">
        <v>-0.87056913535206204</v>
      </c>
      <c r="L87" s="21">
        <v>3.0840296175532543E-2</v>
      </c>
      <c r="M87" s="22">
        <v>6.3027858313374513E-2</v>
      </c>
    </row>
    <row r="88" spans="1:13" x14ac:dyDescent="0.25">
      <c r="A88" s="9">
        <v>44287</v>
      </c>
      <c r="B88" s="2">
        <v>1.4300089600059736</v>
      </c>
      <c r="C88" s="2">
        <v>1.1668554487834812</v>
      </c>
      <c r="D88" s="2">
        <v>-0.8388288288288287</v>
      </c>
      <c r="E88" s="2">
        <v>1.064262461851476</v>
      </c>
      <c r="F88" s="2">
        <v>0.50752021563342364</v>
      </c>
      <c r="G88" s="2">
        <v>1.3699203892083149</v>
      </c>
      <c r="H88" s="2">
        <v>5.0514907546668299E-2</v>
      </c>
      <c r="I88" s="2">
        <v>0.36385086823289031</v>
      </c>
      <c r="J88" s="2">
        <v>-4.5608308605342068E-2</v>
      </c>
      <c r="K88" s="16">
        <v>8.7685366810515405E-2</v>
      </c>
      <c r="L88" s="21">
        <v>4.2062945354758831E-2</v>
      </c>
      <c r="M88" s="22">
        <v>1.8801704687891701E-2</v>
      </c>
    </row>
    <row r="89" spans="1:13" x14ac:dyDescent="0.25">
      <c r="A89" s="9">
        <v>44317</v>
      </c>
      <c r="B89" s="2">
        <v>-1.9385785714285717</v>
      </c>
      <c r="C89" s="2">
        <v>1.4333962264150939</v>
      </c>
      <c r="D89" s="2">
        <v>1.531439205955335</v>
      </c>
      <c r="E89" s="2">
        <v>0.10204481792717046</v>
      </c>
      <c r="F89" s="2">
        <v>-0.63015503875969048</v>
      </c>
      <c r="G89" s="2">
        <v>-4.965176517255057</v>
      </c>
      <c r="H89" s="2">
        <v>0.54457746478873237</v>
      </c>
      <c r="I89" s="2">
        <v>1.1400742942050517</v>
      </c>
      <c r="J89" s="2">
        <v>-0.29571428571428598</v>
      </c>
      <c r="K89" s="16">
        <v>-0.01</v>
      </c>
      <c r="L89" s="21">
        <v>0.42331038425268369</v>
      </c>
      <c r="M89" s="22">
        <v>0.24335574767851426</v>
      </c>
    </row>
    <row r="90" spans="1:13" x14ac:dyDescent="0.25">
      <c r="A90" s="9">
        <v>44348</v>
      </c>
      <c r="B90" s="2">
        <v>-0.98617087671693393</v>
      </c>
      <c r="C90" s="2">
        <v>0.10357673130193838</v>
      </c>
      <c r="D90" s="2">
        <v>-5.7916147474895853E-2</v>
      </c>
      <c r="E90" s="2">
        <v>3.4301110083256243</v>
      </c>
      <c r="F90" s="2">
        <v>-0.63855585831062578</v>
      </c>
      <c r="G90" s="2">
        <v>0.16081081081081033</v>
      </c>
      <c r="H90" s="2">
        <v>-0.38117374842238128</v>
      </c>
      <c r="I90" s="2">
        <v>-0.27616949152542303</v>
      </c>
      <c r="J90" s="2">
        <v>9.6341463414634274E-2</v>
      </c>
      <c r="K90" s="16">
        <v>-0.05</v>
      </c>
      <c r="L90" s="21">
        <v>-0.1262025606316643</v>
      </c>
      <c r="M90" s="22">
        <v>0.16508712931825129</v>
      </c>
    </row>
    <row r="91" spans="1:13" x14ac:dyDescent="0.25">
      <c r="A91" s="9">
        <v>44378</v>
      </c>
      <c r="B91" s="2">
        <v>0.4015480473446521</v>
      </c>
      <c r="C91" s="2">
        <v>5.6419053547657888E-3</v>
      </c>
      <c r="D91" s="2">
        <v>0.87912278128208787</v>
      </c>
      <c r="E91" s="2">
        <v>-0.36118321979203982</v>
      </c>
      <c r="F91" s="2">
        <v>0.21507163323782102</v>
      </c>
      <c r="G91" s="2">
        <v>-0.26717131474103539</v>
      </c>
      <c r="H91" s="2">
        <v>6.0446482651208194E-2</v>
      </c>
      <c r="I91" s="2">
        <v>0.60943062465450448</v>
      </c>
      <c r="J91" s="2">
        <v>0.12072289156626603</v>
      </c>
      <c r="K91" s="16">
        <v>-8.2181146025879392E-2</v>
      </c>
      <c r="L91" s="21">
        <v>0.79574121229564487</v>
      </c>
      <c r="M91" s="22">
        <v>0.20486864304651722</v>
      </c>
    </row>
    <row r="92" spans="1:13" x14ac:dyDescent="0.25">
      <c r="A92" s="9">
        <v>44409</v>
      </c>
      <c r="B92" s="2">
        <v>-1.0177822222222224</v>
      </c>
      <c r="C92" s="2">
        <v>-0.22867303501631081</v>
      </c>
      <c r="D92" s="2">
        <v>1.0840051697163466</v>
      </c>
      <c r="E92" s="2">
        <v>-1.1830673041559396</v>
      </c>
      <c r="F92" s="2">
        <v>0.39697478991596757</v>
      </c>
      <c r="G92" s="2">
        <v>-8.3994594594594574</v>
      </c>
      <c r="H92" s="2">
        <v>0.90371626831148721</v>
      </c>
      <c r="I92" s="2">
        <v>-0.70756839303634544</v>
      </c>
      <c r="J92" s="2">
        <v>-1.0726409495548963</v>
      </c>
      <c r="K92" s="16">
        <v>-0.04</v>
      </c>
      <c r="L92" s="21">
        <v>0.33261149515283384</v>
      </c>
      <c r="M92" s="22">
        <v>0.10182651307834277</v>
      </c>
    </row>
    <row r="93" spans="1:13" x14ac:dyDescent="0.25">
      <c r="A93" s="9">
        <v>44440</v>
      </c>
      <c r="B93" s="2">
        <v>-0.42709693028102025</v>
      </c>
      <c r="C93" s="2">
        <v>6.4131078893688492E-2</v>
      </c>
      <c r="D93" s="2">
        <v>0.17047393954471898</v>
      </c>
      <c r="E93" s="2">
        <v>1.0087804878048772</v>
      </c>
      <c r="F93" s="2">
        <v>0.47891891891891797</v>
      </c>
      <c r="G93" s="2">
        <v>-0.12017817371937564</v>
      </c>
      <c r="H93" s="2">
        <v>-0.11815106028115255</v>
      </c>
      <c r="I93" s="2">
        <v>7.4766216965440391E-2</v>
      </c>
      <c r="J93" s="2">
        <v>0.15480519480519411</v>
      </c>
      <c r="K93" s="16">
        <v>-0.04</v>
      </c>
      <c r="L93" s="21">
        <v>0.51962025231862252</v>
      </c>
      <c r="M93" s="22">
        <v>7.7783761144019622E-2</v>
      </c>
    </row>
    <row r="94" spans="1:13" x14ac:dyDescent="0.25">
      <c r="A94" s="9">
        <v>44470</v>
      </c>
      <c r="B94" s="2">
        <v>-2.1100008583336902</v>
      </c>
      <c r="C94" s="2">
        <v>-0.18349005424954906</v>
      </c>
      <c r="D94" s="2">
        <v>-0.63019559902200473</v>
      </c>
      <c r="E94" s="2">
        <v>-0.58383177570093525</v>
      </c>
      <c r="F94" s="2">
        <v>-0.84274611398963706</v>
      </c>
      <c r="G94" s="2">
        <v>-1.3952914798206277</v>
      </c>
      <c r="H94" s="2">
        <v>-1.1186705571988169</v>
      </c>
      <c r="I94" s="2">
        <v>-0.699672783854285</v>
      </c>
      <c r="J94" s="2">
        <v>-0.47172523961661295</v>
      </c>
      <c r="K94" s="16">
        <v>1.4070760233918145</v>
      </c>
      <c r="L94" s="21">
        <v>-0.63007115876237862</v>
      </c>
      <c r="M94" s="22">
        <v>5.404431633939831E-2</v>
      </c>
    </row>
    <row r="95" spans="1:13" x14ac:dyDescent="0.25">
      <c r="A95" s="9">
        <v>44501</v>
      </c>
      <c r="B95" s="2">
        <v>-1.0640789809250413</v>
      </c>
      <c r="C95" s="2">
        <v>-0.25181098354510195</v>
      </c>
      <c r="D95" s="2">
        <v>2.0179555527008812</v>
      </c>
      <c r="E95" s="2">
        <v>-0.1485915492957734</v>
      </c>
      <c r="F95" s="2">
        <v>1.5977115117891805</v>
      </c>
      <c r="G95" s="2">
        <v>0.16210606060606098</v>
      </c>
      <c r="H95" s="2">
        <v>0.20274243089074068</v>
      </c>
      <c r="I95" s="2">
        <v>0.90161602477259439</v>
      </c>
      <c r="J95" s="2">
        <v>-0.68576158940397414</v>
      </c>
      <c r="K95" s="16">
        <v>-0.6651332371499602</v>
      </c>
      <c r="L95" s="21">
        <v>0.90326104812981711</v>
      </c>
      <c r="M95" s="22">
        <v>4.9557083565632161E-2</v>
      </c>
    </row>
    <row r="96" spans="1:13" x14ac:dyDescent="0.25">
      <c r="A96" s="9">
        <v>44531</v>
      </c>
      <c r="B96" s="2">
        <v>-3.3606593406593408</v>
      </c>
      <c r="C96" s="2">
        <v>-0.35996102579652578</v>
      </c>
      <c r="D96" s="2">
        <v>-2.1198290598290606</v>
      </c>
      <c r="E96" s="2">
        <v>-0.78426035502958635</v>
      </c>
      <c r="F96" s="2">
        <v>0.34975609756097731</v>
      </c>
      <c r="G96" s="2">
        <v>-1.7572576889053215</v>
      </c>
      <c r="H96" s="2">
        <v>-0.69944993553931978</v>
      </c>
      <c r="I96" s="2">
        <v>0.75122517595373717</v>
      </c>
      <c r="J96" s="2">
        <v>-0.26979020979020907</v>
      </c>
      <c r="K96" s="16">
        <v>0.51603517772077789</v>
      </c>
      <c r="L96" s="21">
        <v>-2.079309512312991E-2</v>
      </c>
      <c r="M96" s="22">
        <v>0.13371806601449784</v>
      </c>
    </row>
    <row r="97" spans="1:13" x14ac:dyDescent="0.25">
      <c r="A97" s="9">
        <v>44562</v>
      </c>
      <c r="B97" s="2">
        <v>-2.1081218735788987</v>
      </c>
      <c r="C97" s="2">
        <v>1.1317555928088312</v>
      </c>
      <c r="D97" s="2">
        <v>-0.12570672663535964</v>
      </c>
      <c r="E97" s="2">
        <v>1.0244836272040292</v>
      </c>
      <c r="F97" s="2">
        <v>-0.24</v>
      </c>
      <c r="G97" s="2">
        <v>0.97387283236994215</v>
      </c>
      <c r="H97" s="2">
        <v>0.43980027235587782</v>
      </c>
      <c r="I97" s="2">
        <v>0.46342221289103547</v>
      </c>
      <c r="J97" s="2">
        <v>0.12298932384341621</v>
      </c>
      <c r="K97" s="16">
        <v>-0.59664335664335721</v>
      </c>
      <c r="L97" s="21">
        <v>0.4716420241697179</v>
      </c>
      <c r="M97" s="22">
        <v>0.11627111688666986</v>
      </c>
    </row>
    <row r="98" spans="1:13" x14ac:dyDescent="0.25">
      <c r="A98" s="9">
        <v>44593</v>
      </c>
      <c r="B98" s="2">
        <v>-0.52080789946140094</v>
      </c>
      <c r="C98" s="2">
        <v>-0.83533032448836542</v>
      </c>
      <c r="D98" s="2">
        <v>-1.8213529450304664</v>
      </c>
      <c r="E98" s="2">
        <v>-0.52039878465628486</v>
      </c>
      <c r="F98" s="2">
        <v>-0.37</v>
      </c>
      <c r="G98" s="2">
        <v>-1.0629133858267725</v>
      </c>
      <c r="H98" s="2">
        <v>0.11251568004123991</v>
      </c>
      <c r="I98" s="2">
        <v>-2.0483150212208963</v>
      </c>
      <c r="J98" s="2">
        <v>-1.3440932642487042</v>
      </c>
      <c r="K98" s="16">
        <v>-1.5462162162162159</v>
      </c>
      <c r="L98" s="21">
        <v>-1.0777680212486298</v>
      </c>
      <c r="M98" s="22">
        <v>0.11119832548403977</v>
      </c>
    </row>
    <row r="99" spans="1:13" x14ac:dyDescent="0.25">
      <c r="A99" s="9">
        <v>44621</v>
      </c>
      <c r="B99" s="2">
        <v>1.0172618181818178</v>
      </c>
      <c r="C99" s="2">
        <v>2.259279839905056</v>
      </c>
      <c r="D99" s="2">
        <v>-0.62090407691734195</v>
      </c>
      <c r="E99" s="2">
        <v>0.80999999999999983</v>
      </c>
      <c r="F99" s="2">
        <v>-0.51</v>
      </c>
      <c r="G99" s="2">
        <v>0.55963788300835748</v>
      </c>
      <c r="H99" s="2">
        <v>1.7528231601552833</v>
      </c>
      <c r="I99" s="2">
        <v>-0.55482361079086939</v>
      </c>
      <c r="J99" s="2">
        <v>-0.96112781954887261</v>
      </c>
      <c r="K99" s="16">
        <v>-0.40452656811825866</v>
      </c>
      <c r="L99" s="21">
        <v>-0.80988942507430295</v>
      </c>
      <c r="M99" s="22">
        <v>0.18782649527498974</v>
      </c>
    </row>
    <row r="100" spans="1:13" x14ac:dyDescent="0.25">
      <c r="A100" s="9">
        <v>44652</v>
      </c>
      <c r="B100" s="2">
        <v>-2.1848301248630038</v>
      </c>
      <c r="C100" s="2">
        <v>-0.86446874929428807</v>
      </c>
      <c r="D100" s="2">
        <v>-0.18093658316407146</v>
      </c>
      <c r="E100" s="2">
        <v>-1.6283367983367976</v>
      </c>
      <c r="F100" s="2">
        <v>-0.83</v>
      </c>
      <c r="G100" s="2">
        <v>-5.2801278772378515</v>
      </c>
      <c r="H100" s="2">
        <v>-1.2194371091035454</v>
      </c>
      <c r="I100" s="2">
        <v>-0.31731716348824179</v>
      </c>
      <c r="J100" s="2">
        <v>-0.73624999999999985</v>
      </c>
      <c r="K100" s="16">
        <v>-0.83</v>
      </c>
      <c r="L100" s="21">
        <v>0.73273220957604512</v>
      </c>
      <c r="M100" s="22">
        <v>7.3348002933920117E-2</v>
      </c>
    </row>
    <row r="101" spans="1:13" x14ac:dyDescent="0.25">
      <c r="A101" s="9">
        <v>44682</v>
      </c>
      <c r="B101" s="2">
        <v>-3.7481818181818181</v>
      </c>
      <c r="C101" s="2">
        <v>-1.5566558191692879</v>
      </c>
      <c r="D101" s="2">
        <v>-1.8810705109905803</v>
      </c>
      <c r="E101" s="2">
        <v>-1.820423162583519</v>
      </c>
      <c r="F101" s="2">
        <v>-1.1299999999999999</v>
      </c>
      <c r="G101" s="2">
        <v>-2.2519756097560988</v>
      </c>
      <c r="H101" s="2">
        <v>-2.051353156647274</v>
      </c>
      <c r="I101" s="2">
        <v>-3.8078532427753364</v>
      </c>
      <c r="J101" s="2">
        <v>-1.316046511627907</v>
      </c>
      <c r="K101" s="16">
        <v>-1.1299999999999999</v>
      </c>
      <c r="L101" s="21">
        <v>-1.4416268930995515</v>
      </c>
      <c r="M101" s="22">
        <v>5.8064516129032261E-2</v>
      </c>
    </row>
    <row r="102" spans="1:13" x14ac:dyDescent="0.25">
      <c r="A102" s="9">
        <v>44713</v>
      </c>
      <c r="B102" s="2">
        <v>-4.3390837209302333</v>
      </c>
      <c r="C102" s="2">
        <v>-0.95880367999551253</v>
      </c>
      <c r="D102" s="2">
        <v>-2.5416140083745709</v>
      </c>
      <c r="E102" s="2">
        <v>-2.1468058290665621</v>
      </c>
      <c r="F102" s="2">
        <v>-1.66</v>
      </c>
      <c r="G102" s="2">
        <v>1.5148950109753623</v>
      </c>
      <c r="H102" s="2">
        <v>-1.8644499766609612</v>
      </c>
      <c r="I102" s="2">
        <v>-1.7031999999999996</v>
      </c>
      <c r="J102" s="2">
        <v>-2.2269291338582682</v>
      </c>
      <c r="K102" s="16">
        <v>0.1887128712871291</v>
      </c>
      <c r="L102" s="21">
        <v>-0.48408937086307946</v>
      </c>
      <c r="M102" s="22">
        <v>9.6761708166688165E-2</v>
      </c>
    </row>
    <row r="103" spans="1:13" x14ac:dyDescent="0.25">
      <c r="A103" s="9">
        <v>44743</v>
      </c>
      <c r="B103" s="2">
        <v>-2.3076466581536779</v>
      </c>
      <c r="C103" s="2">
        <v>-1.7682365105008082</v>
      </c>
      <c r="D103" s="2">
        <v>-2.78075595727198</v>
      </c>
      <c r="E103" s="2">
        <v>-3.3646305418719202</v>
      </c>
      <c r="F103" s="2">
        <v>-2.34</v>
      </c>
      <c r="G103" s="2">
        <v>2.000454504351957</v>
      </c>
      <c r="H103" s="2">
        <v>-2.5793351800554012</v>
      </c>
      <c r="I103" s="2">
        <v>-2.5849962722945463</v>
      </c>
      <c r="J103" s="2">
        <v>-2.637520661157025</v>
      </c>
      <c r="K103" s="16">
        <v>-4.6790322580645167</v>
      </c>
      <c r="L103" s="21">
        <v>-0.92061113962302665</v>
      </c>
      <c r="M103" s="22">
        <v>5.6152172387169227E-2</v>
      </c>
    </row>
    <row r="104" spans="1:13" x14ac:dyDescent="0.25">
      <c r="A104" s="9">
        <v>44774</v>
      </c>
      <c r="B104" s="2">
        <v>-4.1026067482830699</v>
      </c>
      <c r="C104" s="2">
        <v>-3.1349883288466942</v>
      </c>
      <c r="D104" s="2">
        <v>-0.52281924422076376</v>
      </c>
      <c r="E104" s="2">
        <v>-1.528886894075405</v>
      </c>
      <c r="F104" s="2">
        <v>-2.87</v>
      </c>
      <c r="G104" s="2">
        <v>-2.7762656249999993</v>
      </c>
      <c r="H104" s="2">
        <v>-3.3351538399418557</v>
      </c>
      <c r="I104" s="2">
        <v>-1.3026444587553421</v>
      </c>
      <c r="J104" s="2">
        <v>-3.2259322033898297</v>
      </c>
      <c r="K104" s="16">
        <v>-1.1846071726189842</v>
      </c>
      <c r="L104" s="21">
        <v>1.4035602571450276</v>
      </c>
      <c r="M104" s="22">
        <v>5.7753393011839446E-2</v>
      </c>
    </row>
    <row r="105" spans="1:13" x14ac:dyDescent="0.25">
      <c r="A105" s="9">
        <v>44805</v>
      </c>
      <c r="B105" s="2">
        <v>-0.4046921797004992</v>
      </c>
      <c r="C105" s="2">
        <v>-3.1016676579836551</v>
      </c>
      <c r="D105" s="2">
        <v>-3.2259931506849311</v>
      </c>
      <c r="E105" s="2">
        <v>-4.2809608397254753</v>
      </c>
      <c r="F105" s="2">
        <v>-3.22</v>
      </c>
      <c r="G105" s="2">
        <v>-3.2820000801034634</v>
      </c>
      <c r="H105" s="2">
        <v>-3.1605191968411321</v>
      </c>
      <c r="I105" s="2">
        <v>-3.8842502071251035</v>
      </c>
      <c r="J105" s="2">
        <v>-3.1675982532751106</v>
      </c>
      <c r="K105" s="16">
        <v>-1.5066753877779855</v>
      </c>
      <c r="L105" s="21">
        <v>-0.61773092502924842</v>
      </c>
      <c r="M105" s="22">
        <v>6.7051092932814804E-2</v>
      </c>
    </row>
    <row r="106" spans="1:13" x14ac:dyDescent="0.25">
      <c r="A106" s="9">
        <v>44835</v>
      </c>
      <c r="B106" s="2">
        <v>-7.1263072776280314</v>
      </c>
      <c r="C106" s="2">
        <v>-3.9253422998537859</v>
      </c>
      <c r="D106" s="2">
        <v>-4.4454664858305373</v>
      </c>
      <c r="E106" s="2">
        <v>-5.1547741364038959</v>
      </c>
      <c r="F106" s="2">
        <v>-4.0599999999999996</v>
      </c>
      <c r="G106" s="2">
        <v>-1.3171584415584405</v>
      </c>
      <c r="H106" s="2">
        <v>-4.4311753887309813</v>
      </c>
      <c r="I106" s="2">
        <v>-4.2658871896069721</v>
      </c>
      <c r="J106" s="2">
        <v>-4.1121739130434767</v>
      </c>
      <c r="K106" s="16">
        <v>-4.0599999999999996</v>
      </c>
      <c r="L106" s="21">
        <v>-1.0215126822663361</v>
      </c>
      <c r="M106" s="22">
        <v>3.3633795237454592E-2</v>
      </c>
    </row>
    <row r="107" spans="1:13" ht="15.75" thickBot="1" x14ac:dyDescent="0.3">
      <c r="A107" s="11">
        <v>44866</v>
      </c>
      <c r="B107" s="13">
        <v>-5.9731136857349751</v>
      </c>
      <c r="C107" s="13">
        <v>-3.0304974161536702</v>
      </c>
      <c r="D107" s="13">
        <v>-5.8639228556678216</v>
      </c>
      <c r="E107" s="13">
        <v>-2.8430994152046773</v>
      </c>
      <c r="F107" s="13">
        <v>-4.2699999999999996</v>
      </c>
      <c r="G107" s="13">
        <v>-3.7372171957898481</v>
      </c>
      <c r="H107" s="13">
        <v>-2.8310766045548661</v>
      </c>
      <c r="I107" s="13">
        <v>-3.0874010039040716</v>
      </c>
      <c r="J107" s="13">
        <v>-3.5887772925764194</v>
      </c>
      <c r="K107" s="17">
        <v>-4.2699999999999996</v>
      </c>
      <c r="L107" s="23">
        <v>6.3282020137618092E-2</v>
      </c>
      <c r="M107" s="24">
        <v>9.856262833675565E-2</v>
      </c>
    </row>
    <row r="108" spans="1:13" x14ac:dyDescent="0.25">
      <c r="A108" s="1">
        <v>44896</v>
      </c>
      <c r="B108" s="18">
        <v>-5.8696202531645554</v>
      </c>
      <c r="C108" s="18">
        <v>-4.424951131774117</v>
      </c>
      <c r="D108" s="18">
        <v>-3.3345296819186929</v>
      </c>
      <c r="E108" s="18">
        <v>-3.881881533101045</v>
      </c>
      <c r="F108" s="18">
        <v>-4.3</v>
      </c>
      <c r="G108" s="18">
        <v>-8.9639676113360309</v>
      </c>
      <c r="H108" s="18">
        <v>-3.8674010167924813</v>
      </c>
      <c r="I108" s="18">
        <v>-3.8369853277148804</v>
      </c>
      <c r="J108" s="18">
        <v>-5.3909090909090898</v>
      </c>
      <c r="K108" s="18">
        <v>-6.5057236304170072</v>
      </c>
      <c r="L108" s="25">
        <v>0.80036495865425783</v>
      </c>
    </row>
    <row r="109" spans="1:13" x14ac:dyDescent="0.25">
      <c r="A109" s="1">
        <v>44927</v>
      </c>
      <c r="B109" s="18">
        <v>-6.2110679611650488</v>
      </c>
      <c r="C109" s="18">
        <v>-4.2335523288704504</v>
      </c>
      <c r="D109" s="18">
        <v>-5.1127455919395466</v>
      </c>
      <c r="E109" s="18">
        <v>-5.7567676767676774</v>
      </c>
      <c r="F109" s="18">
        <v>-4.58</v>
      </c>
      <c r="G109" s="18">
        <v>-4.0237086092715222</v>
      </c>
      <c r="H109" s="18">
        <v>-5.3240892193308555</v>
      </c>
      <c r="I109" s="18">
        <v>-4.5289661240651116</v>
      </c>
      <c r="J109" s="18">
        <v>-4.58</v>
      </c>
      <c r="K109" s="18">
        <v>-5.6648326988579427</v>
      </c>
      <c r="L109" s="25">
        <v>-1.0982960316030117</v>
      </c>
    </row>
    <row r="110" spans="1:13" x14ac:dyDescent="0.25">
      <c r="A110" s="1">
        <v>44958</v>
      </c>
      <c r="B110" s="18">
        <v>-0.40539325842696705</v>
      </c>
      <c r="C110" s="18">
        <v>-6.9857938333619547</v>
      </c>
      <c r="D110" s="18">
        <v>-3.234332784184514</v>
      </c>
      <c r="E110" s="18">
        <v>-3.6392720485300978</v>
      </c>
      <c r="F110" s="18">
        <v>-4.72</v>
      </c>
      <c r="G110" s="18">
        <v>-3.3149556962025311</v>
      </c>
      <c r="H110" s="18">
        <v>-4.3966011414077357</v>
      </c>
      <c r="I110" s="18">
        <v>-3.8268925233644859</v>
      </c>
      <c r="J110" s="18">
        <v>-4.72</v>
      </c>
      <c r="K110" s="18">
        <v>-3.8630459491607567</v>
      </c>
      <c r="L110" s="25">
        <v>1.5612847082568539</v>
      </c>
    </row>
    <row r="111" spans="1:13" x14ac:dyDescent="0.25">
      <c r="A111" s="1">
        <v>44986</v>
      </c>
      <c r="B111" s="18">
        <v>-7.9527272727272713</v>
      </c>
      <c r="C111" s="18">
        <v>-4.1388247681093633</v>
      </c>
      <c r="D111" s="18">
        <v>-4.0255984754086347</v>
      </c>
      <c r="E111" s="18">
        <v>-6.8221232876712321</v>
      </c>
      <c r="F111" s="18">
        <v>-4.68</v>
      </c>
      <c r="G111" s="18">
        <v>-8.8952864239184493</v>
      </c>
      <c r="H111" s="18">
        <v>-5.2153504167953066</v>
      </c>
      <c r="I111" s="18">
        <v>-6.0097694015312815</v>
      </c>
      <c r="J111" s="18">
        <v>-4.8981818181818184</v>
      </c>
      <c r="K111" s="18">
        <v>-4.6602631578947369</v>
      </c>
      <c r="L111" s="25">
        <v>-0.41206169973550383</v>
      </c>
    </row>
    <row r="112" spans="1:13" x14ac:dyDescent="0.25">
      <c r="A112" s="1">
        <v>45017</v>
      </c>
      <c r="B112" s="18">
        <v>-7.3363636363636378</v>
      </c>
      <c r="C112" s="18">
        <v>-4.7777401362014915</v>
      </c>
      <c r="D112" s="18">
        <v>-3.8848717592270816</v>
      </c>
      <c r="E112" s="18">
        <v>-6.2194111516414807</v>
      </c>
      <c r="F112" s="18">
        <v>-4.95</v>
      </c>
      <c r="G112" s="18">
        <v>-10.845196506550216</v>
      </c>
      <c r="H112" s="18">
        <v>-4.2771934076587499</v>
      </c>
      <c r="I112" s="18">
        <v>-3.906335660060122</v>
      </c>
      <c r="J112" s="18">
        <v>-4.8388888888888886</v>
      </c>
      <c r="K112" s="18">
        <v>-5.0411330049261078</v>
      </c>
      <c r="L112" s="25">
        <v>1.216004931913957</v>
      </c>
    </row>
    <row r="113" spans="1:12" x14ac:dyDescent="0.25">
      <c r="A113" s="1">
        <v>45047</v>
      </c>
      <c r="B113" s="18">
        <v>-6.36468085106383</v>
      </c>
      <c r="C113" s="18">
        <v>-5.4254741502321338</v>
      </c>
      <c r="D113" s="18">
        <v>-4.3008580183861067</v>
      </c>
      <c r="E113" s="18">
        <v>-4.9103496503496498</v>
      </c>
      <c r="F113" s="18">
        <v>-5.26</v>
      </c>
      <c r="G113" s="18">
        <v>-6.3415450643776827</v>
      </c>
      <c r="H113" s="18">
        <v>-6.3799510403916768</v>
      </c>
      <c r="I113" s="18">
        <v>-4.9191356520108744</v>
      </c>
      <c r="J113" s="18">
        <v>-5.700366972477064</v>
      </c>
      <c r="K113" s="18">
        <v>-5.26</v>
      </c>
      <c r="L113" s="25">
        <v>7.58604691843454E-2</v>
      </c>
    </row>
    <row r="114" spans="1:12" x14ac:dyDescent="0.25">
      <c r="A114" s="1">
        <v>45078</v>
      </c>
      <c r="B114" s="18">
        <v>-6.2966989532885487</v>
      </c>
      <c r="C114" s="18">
        <v>-5.7978526970954363</v>
      </c>
      <c r="D114" s="18">
        <v>-4.1577039489240946</v>
      </c>
      <c r="E114" s="18">
        <v>-5.2447451868629669</v>
      </c>
      <c r="F114" s="18">
        <v>-5.17</v>
      </c>
      <c r="G114" s="18">
        <v>-1.0945283018867924</v>
      </c>
      <c r="H114" s="18">
        <v>-4.5969321633479572</v>
      </c>
      <c r="I114" s="18">
        <v>-4.9577848678213314</v>
      </c>
      <c r="J114" s="18">
        <v>-4.3128571428571432</v>
      </c>
      <c r="K114" s="18">
        <v>-5.17</v>
      </c>
      <c r="L114" s="25">
        <v>1.0974200145562065</v>
      </c>
    </row>
    <row r="115" spans="1:12" x14ac:dyDescent="0.25">
      <c r="A115" s="1">
        <v>45108</v>
      </c>
      <c r="B115" s="18">
        <v>-7.2444827586206895</v>
      </c>
      <c r="C115" s="18">
        <v>-4.7422726961756858</v>
      </c>
      <c r="D115" s="18">
        <v>-4.3915957040833025</v>
      </c>
      <c r="E115" s="18">
        <v>-4.6646153846153862</v>
      </c>
      <c r="F115" s="18">
        <v>-5.28</v>
      </c>
      <c r="G115" s="18">
        <v>-6.8856338028169004</v>
      </c>
      <c r="H115" s="18">
        <v>-5.0741697535835089</v>
      </c>
      <c r="I115" s="18">
        <v>-5.2998853457542108</v>
      </c>
      <c r="J115" s="18">
        <v>-4.8533333333333335</v>
      </c>
      <c r="K115" s="18">
        <v>-5.2514581178903823</v>
      </c>
      <c r="L115" s="25">
        <v>0.63747904478132855</v>
      </c>
    </row>
    <row r="116" spans="1:12" x14ac:dyDescent="0.25">
      <c r="A116" s="1">
        <v>45139</v>
      </c>
      <c r="B116" s="18">
        <v>-6.5569858777445624</v>
      </c>
      <c r="C116" s="18">
        <v>-5.5821792086125388</v>
      </c>
      <c r="D116" s="18">
        <v>-5.6501355261154256</v>
      </c>
      <c r="E116" s="18">
        <v>-4.760650406504066</v>
      </c>
      <c r="F116" s="18">
        <v>-5.32</v>
      </c>
      <c r="G116" s="18">
        <v>-7.3687804878048802</v>
      </c>
      <c r="H116" s="18">
        <v>-4.7499738738025492</v>
      </c>
      <c r="I116" s="18">
        <v>-5.9396222690772058</v>
      </c>
      <c r="J116" s="18">
        <v>-5.8607725321888413</v>
      </c>
      <c r="K116" s="18">
        <v>-5.3113339523367387</v>
      </c>
      <c r="L116" s="25">
        <v>0.40186498639922286</v>
      </c>
    </row>
    <row r="117" spans="1:12" x14ac:dyDescent="0.25">
      <c r="A117" s="1">
        <v>45170</v>
      </c>
      <c r="B117" s="18">
        <v>-10.264259280542468</v>
      </c>
      <c r="C117" s="18">
        <v>-5.6555073826860172</v>
      </c>
      <c r="D117" s="18">
        <v>-4.7180896706508699</v>
      </c>
      <c r="E117" s="18">
        <v>-4.5991299844640086</v>
      </c>
      <c r="F117" s="18">
        <v>-5.32</v>
      </c>
      <c r="G117" s="18">
        <v>-7.7788235294117651</v>
      </c>
      <c r="H117" s="18">
        <v>-5.2447222432166898</v>
      </c>
      <c r="I117" s="18">
        <v>-5.6747776726584673</v>
      </c>
      <c r="J117" s="18">
        <v>-5.8862921348314607</v>
      </c>
      <c r="K117" s="18">
        <v>-5.32</v>
      </c>
      <c r="L117" s="25">
        <v>-0.17341889972076591</v>
      </c>
    </row>
    <row r="118" spans="1:12" x14ac:dyDescent="0.25">
      <c r="A118" s="1">
        <v>45200</v>
      </c>
      <c r="B118" s="18">
        <v>-6.7748788115715399</v>
      </c>
      <c r="C118" s="18">
        <v>-5.1481929621704774</v>
      </c>
      <c r="D118" s="18">
        <v>-5.4695626242544719</v>
      </c>
      <c r="E118" s="18">
        <v>-7.0534978016609662</v>
      </c>
      <c r="F118" s="18">
        <v>-5.33</v>
      </c>
      <c r="G118" s="18">
        <v>-12.092022194821208</v>
      </c>
      <c r="H118" s="18">
        <v>-5.2993555655700764</v>
      </c>
      <c r="I118" s="18">
        <v>-5.4943675359493058</v>
      </c>
      <c r="J118" s="18">
        <v>-3.7450943396226428</v>
      </c>
      <c r="K118" s="18">
        <v>-7.5413649484536087</v>
      </c>
      <c r="L118" s="25">
        <v>-0.50607132205700722</v>
      </c>
    </row>
    <row r="119" spans="1:12" x14ac:dyDescent="0.25">
      <c r="A119" s="1">
        <v>45231</v>
      </c>
      <c r="B119" s="18">
        <v>-4.9833333333333343</v>
      </c>
      <c r="C119" s="18">
        <v>-4.5433833838361011</v>
      </c>
      <c r="D119" s="18">
        <v>-5.2934476516142022</v>
      </c>
      <c r="E119" s="18">
        <v>-5.8660867084997159</v>
      </c>
      <c r="F119" s="18">
        <v>-5.25</v>
      </c>
      <c r="G119" s="18">
        <v>-7.2059322033898301</v>
      </c>
      <c r="H119" s="18">
        <v>-5.0000749175906503</v>
      </c>
      <c r="I119" s="18">
        <v>-5.7131807848176335</v>
      </c>
      <c r="J119" s="18">
        <v>-6.5499999999999989</v>
      </c>
      <c r="K119" s="18">
        <v>-5.25</v>
      </c>
      <c r="L119" s="25">
        <v>-0.13964011627240838</v>
      </c>
    </row>
    <row r="120" spans="1:12" x14ac:dyDescent="0.25">
      <c r="A120" s="1">
        <v>45261</v>
      </c>
      <c r="B120" s="18">
        <v>-7.2869565217391301</v>
      </c>
      <c r="C120" s="18">
        <v>-4.9032392260709861</v>
      </c>
      <c r="D120" s="18">
        <v>-3.3964267689512466</v>
      </c>
      <c r="E120" s="18">
        <v>-1.0797354179194221</v>
      </c>
      <c r="F120" s="18">
        <v>-5.2</v>
      </c>
      <c r="G120" s="18">
        <v>-3.4909213634829577</v>
      </c>
      <c r="H120" s="18">
        <v>-4.3571994715984133</v>
      </c>
      <c r="I120" s="18">
        <v>-3.7663907880532559</v>
      </c>
      <c r="J120" s="18">
        <v>-5.0878504672897193</v>
      </c>
      <c r="K120" s="18">
        <v>-5.2</v>
      </c>
      <c r="L120" s="25">
        <v>1.0904969754331939</v>
      </c>
    </row>
    <row r="121" spans="1:12" x14ac:dyDescent="0.25">
      <c r="A121" s="1">
        <v>45292</v>
      </c>
      <c r="B121" s="18">
        <v>-5.0242105263157883</v>
      </c>
      <c r="C121" s="18">
        <v>-5.5126024731988839</v>
      </c>
      <c r="D121" s="18">
        <v>-5.8833906633906627</v>
      </c>
      <c r="E121" s="18">
        <v>-4.9621665174574749</v>
      </c>
      <c r="F121" s="18">
        <v>-5.22</v>
      </c>
      <c r="G121" s="18">
        <v>-8.2510192023633682</v>
      </c>
      <c r="H121" s="18">
        <v>-4.6472783377905795</v>
      </c>
      <c r="I121" s="18">
        <v>-5.8707783441245347</v>
      </c>
      <c r="J121" s="18">
        <v>-5.1088888888888881</v>
      </c>
      <c r="K121" s="18">
        <v>-0.38583422643722187</v>
      </c>
      <c r="L121" s="25">
        <v>0.62135648016762568</v>
      </c>
    </row>
    <row r="122" spans="1:12" x14ac:dyDescent="0.25">
      <c r="A122" s="1">
        <v>45323</v>
      </c>
      <c r="B122" s="18">
        <v>-10.417581563956499</v>
      </c>
      <c r="C122" s="18">
        <v>-5.8118807540224617</v>
      </c>
      <c r="D122" s="18">
        <v>-3.3690785807170722</v>
      </c>
      <c r="E122" s="18">
        <v>-4.6715600350569666</v>
      </c>
      <c r="F122" s="18">
        <v>-5.25</v>
      </c>
      <c r="G122" s="18">
        <v>-6.3409090909090908</v>
      </c>
      <c r="H122" s="18">
        <v>-4.5274396230119756</v>
      </c>
      <c r="I122" s="18">
        <v>-5.5826859584385318</v>
      </c>
      <c r="J122" s="18">
        <v>-5.1949541284403677</v>
      </c>
      <c r="K122" s="18">
        <v>-5.25</v>
      </c>
      <c r="L122" s="25">
        <v>0.36998608695031932</v>
      </c>
    </row>
    <row r="123" spans="1:12" x14ac:dyDescent="0.25">
      <c r="A123" s="1">
        <v>45352</v>
      </c>
      <c r="B123" s="18">
        <v>-7.8980613033789631</v>
      </c>
      <c r="C123" s="18">
        <v>-4.9965752319483672</v>
      </c>
      <c r="D123" s="18">
        <v>-4.8599835387642027</v>
      </c>
      <c r="E123" s="18">
        <v>-6.2784949832775938</v>
      </c>
      <c r="F123" s="18">
        <v>-5.23</v>
      </c>
      <c r="G123" s="18">
        <v>-7.405652173913043</v>
      </c>
      <c r="H123" s="18">
        <v>-5.521869868510402</v>
      </c>
      <c r="I123" s="18">
        <v>-5.5308239700374546</v>
      </c>
      <c r="J123" s="18">
        <v>-5.4491780821917812</v>
      </c>
      <c r="K123" s="18">
        <v>-4.9467567567567565</v>
      </c>
      <c r="L123" s="25">
        <v>0.6629341165116055</v>
      </c>
    </row>
    <row r="124" spans="1:12" x14ac:dyDescent="0.25">
      <c r="A124" s="1">
        <v>45383</v>
      </c>
      <c r="B124" s="18">
        <v>-5.3903508771929829</v>
      </c>
      <c r="C124" s="18">
        <v>-4.8160531031112557</v>
      </c>
      <c r="D124" s="18">
        <v>-5.6743816942551124</v>
      </c>
      <c r="E124" s="18">
        <v>-4.9861429225836007</v>
      </c>
      <c r="F124" s="18">
        <v>-5.25</v>
      </c>
      <c r="G124" s="18">
        <v>-7.9775624004248531</v>
      </c>
      <c r="H124" s="18">
        <v>-4.7769851312875682</v>
      </c>
      <c r="I124" s="18">
        <v>-5.6120345233826763</v>
      </c>
      <c r="J124" s="18">
        <v>-5.7523255813953478</v>
      </c>
      <c r="K124" s="18">
        <v>-5.25</v>
      </c>
      <c r="L124" s="25">
        <v>-6.3662007844648488E-3</v>
      </c>
    </row>
    <row r="125" spans="1:12" x14ac:dyDescent="0.25">
      <c r="A125" s="1">
        <v>45413</v>
      </c>
      <c r="B125" s="18">
        <v>-2.5162721893491109</v>
      </c>
      <c r="C125" s="18">
        <v>-4.8676090765653814</v>
      </c>
      <c r="D125" s="18">
        <v>-7.1832175879194082</v>
      </c>
      <c r="E125" s="18">
        <v>-6.5193859255939035</v>
      </c>
      <c r="F125" s="18">
        <v>-5.25</v>
      </c>
      <c r="G125" s="18">
        <v>-10.198453608247423</v>
      </c>
      <c r="H125" s="18">
        <v>-6.3683345507669831</v>
      </c>
      <c r="I125" s="18">
        <v>-6.4072831942537229</v>
      </c>
      <c r="J125" s="18">
        <v>-6.1237864077669908</v>
      </c>
      <c r="K125" s="18">
        <v>-5.25</v>
      </c>
      <c r="L125" s="25">
        <v>-0.63935232764087291</v>
      </c>
    </row>
    <row r="126" spans="1:12" x14ac:dyDescent="0.25">
      <c r="A126" s="1">
        <v>45444</v>
      </c>
      <c r="B126" s="18">
        <v>-5.9139759036144586</v>
      </c>
      <c r="C126" s="18">
        <v>-6.1338719670473152</v>
      </c>
      <c r="D126" s="18">
        <v>-4.831300957789864</v>
      </c>
      <c r="E126" s="18">
        <v>-2.2966917293233085</v>
      </c>
      <c r="F126" s="18">
        <v>-5.22</v>
      </c>
      <c r="G126" s="18">
        <v>-6.4129824561403499</v>
      </c>
      <c r="H126" s="18">
        <v>-5.0508384238437269</v>
      </c>
      <c r="I126" s="18">
        <v>-4.9499509001636666</v>
      </c>
      <c r="J126" s="18">
        <v>-5.9110994764397899</v>
      </c>
      <c r="K126" s="18">
        <v>-7.3217426509417365</v>
      </c>
      <c r="L126" s="25">
        <v>0.88858709303030703</v>
      </c>
    </row>
    <row r="127" spans="1:12" x14ac:dyDescent="0.25">
      <c r="A127" s="1">
        <v>45474</v>
      </c>
      <c r="B127" s="18">
        <v>-5.2052429667519196</v>
      </c>
      <c r="C127" s="18">
        <v>-5.5327057212503687</v>
      </c>
      <c r="D127" s="18">
        <v>-3.4280419580419581</v>
      </c>
      <c r="E127" s="18">
        <v>-5.1113059250302291</v>
      </c>
      <c r="F127" s="18">
        <v>-5.15</v>
      </c>
      <c r="G127" s="18">
        <v>-8.7344155844155846</v>
      </c>
      <c r="H127" s="18">
        <v>-4.0434930826769042</v>
      </c>
      <c r="I127" s="18">
        <v>-5.096492882867433</v>
      </c>
      <c r="J127" s="18">
        <v>-6.35</v>
      </c>
      <c r="K127" s="18">
        <v>-5.15</v>
      </c>
      <c r="L127" s="25">
        <v>0.78141086190666398</v>
      </c>
    </row>
    <row r="128" spans="1:12" x14ac:dyDescent="0.25">
      <c r="A128" s="1">
        <v>45505</v>
      </c>
      <c r="B128" s="18">
        <v>-3.8453648509763623</v>
      </c>
      <c r="C128" s="18">
        <v>-3.3700662068965528</v>
      </c>
      <c r="D128" s="18">
        <v>-4.7167906066536212</v>
      </c>
      <c r="E128" s="18">
        <v>-4.8112575331458434</v>
      </c>
      <c r="F128" s="18">
        <v>-4.9800000000000004</v>
      </c>
      <c r="G128" s="18">
        <v>-4.7466666666666679</v>
      </c>
      <c r="H128" s="18">
        <v>-3.7567272727272734</v>
      </c>
      <c r="I128" s="18">
        <v>-4.1153935461840536</v>
      </c>
      <c r="J128" s="18">
        <v>-5.2762962962962972</v>
      </c>
      <c r="K128" s="18">
        <v>-6.3628425096030732</v>
      </c>
      <c r="L128" s="25">
        <v>-0.55834025666987441</v>
      </c>
    </row>
    <row r="129" spans="1:12" x14ac:dyDescent="0.25">
      <c r="A129" s="1">
        <v>45536</v>
      </c>
      <c r="B129" s="18">
        <v>-8.9425352112676038</v>
      </c>
      <c r="C129" s="18">
        <v>-3.7939607438866645</v>
      </c>
      <c r="D129" s="18">
        <v>-3.8607851272640237</v>
      </c>
      <c r="E129" s="18">
        <v>-3.9399683042789206</v>
      </c>
      <c r="F129" s="18">
        <v>-4.5199999999999996</v>
      </c>
      <c r="G129" s="18">
        <v>-3.1140054495912803</v>
      </c>
      <c r="H129" s="18">
        <v>-3.8151270487295119</v>
      </c>
      <c r="I129" s="18">
        <v>-4.8047587195413275</v>
      </c>
      <c r="J129" s="18">
        <v>-4.1881012658227856</v>
      </c>
      <c r="K129" s="18">
        <v>-1.8253545586107083</v>
      </c>
      <c r="L129" s="25">
        <v>0.43466545688045616</v>
      </c>
    </row>
    <row r="130" spans="1:12" x14ac:dyDescent="0.25">
      <c r="A130" s="1">
        <v>45566</v>
      </c>
      <c r="B130" s="18">
        <v>2.1622304832713741</v>
      </c>
      <c r="C130" s="18">
        <v>-3.9659287857647989</v>
      </c>
      <c r="D130" s="18">
        <v>-3.9716671828715278</v>
      </c>
      <c r="E130" s="18">
        <v>-4.108934240362812</v>
      </c>
      <c r="F130" s="18">
        <v>-4.4400000000000004</v>
      </c>
      <c r="G130" s="18">
        <v>-8.0507317073170732</v>
      </c>
      <c r="H130" s="18">
        <v>-4.6588051948051943</v>
      </c>
      <c r="I130" s="18">
        <v>-4.2285807504078319</v>
      </c>
      <c r="J130" s="18">
        <v>-6.093261070394778</v>
      </c>
      <c r="K130" s="18">
        <v>-2.4758006696868247</v>
      </c>
      <c r="L130" s="25">
        <v>0.12178614779122367</v>
      </c>
    </row>
    <row r="131" spans="1:12" x14ac:dyDescent="0.25">
      <c r="A131" s="1">
        <v>45597</v>
      </c>
      <c r="B131" s="18">
        <v>-7.2676978417266183</v>
      </c>
      <c r="C131" s="18">
        <v>-5.2048100343476573</v>
      </c>
      <c r="D131" s="18">
        <v>-4.8442267515923563</v>
      </c>
      <c r="E131" s="18">
        <v>-3.9133541743287976</v>
      </c>
      <c r="F131" s="18">
        <v>-4.3899999999999997</v>
      </c>
      <c r="G131" s="18">
        <v>-6.0618223049191764</v>
      </c>
      <c r="H131" s="18">
        <v>-5.5640303719773536</v>
      </c>
      <c r="I131" s="18">
        <v>-5.0607277973709506</v>
      </c>
      <c r="J131" s="18">
        <v>-5.4185714285714273</v>
      </c>
      <c r="K131" s="18">
        <v>-4.3899999999999997</v>
      </c>
      <c r="L131" s="25">
        <v>0.15769143238609651</v>
      </c>
    </row>
    <row r="132" spans="1:12" x14ac:dyDescent="0.25">
      <c r="A132" s="1">
        <v>45627</v>
      </c>
      <c r="B132" s="18">
        <v>-3.3593375394321772</v>
      </c>
      <c r="C132" s="18">
        <v>-4.755495611007003</v>
      </c>
      <c r="D132" s="18">
        <v>-3.2304164931278647</v>
      </c>
      <c r="E132" s="18">
        <v>-3.1008878669968167</v>
      </c>
      <c r="F132" s="18">
        <v>-4.2300000000000004</v>
      </c>
      <c r="G132" s="18">
        <v>-7.6300810701256587</v>
      </c>
      <c r="H132" s="18">
        <v>-3.4079472140762461</v>
      </c>
      <c r="I132" s="18">
        <v>-3.1561942494906048</v>
      </c>
      <c r="J132" s="18">
        <v>-3.76125</v>
      </c>
      <c r="K132" s="18">
        <v>-4.2300000000000004</v>
      </c>
      <c r="L132" s="25">
        <v>0.67775296333974555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A25EB-4CDD-44BF-92FB-58656DC4298B}">
  <sheetPr codeName="Foglio5"/>
  <dimension ref="A1:I133"/>
  <sheetViews>
    <sheetView tabSelected="1" workbookViewId="0">
      <selection activeCell="N10" sqref="N10"/>
    </sheetView>
  </sheetViews>
  <sheetFormatPr defaultRowHeight="15" x14ac:dyDescent="0.25"/>
  <cols>
    <col min="1" max="1" width="10.7109375" bestFit="1" customWidth="1"/>
    <col min="2" max="7" width="15.7109375" customWidth="1"/>
    <col min="8" max="8" width="18.7109375" style="2" bestFit="1" customWidth="1"/>
    <col min="9" max="9" width="12" style="4" bestFit="1" customWidth="1"/>
  </cols>
  <sheetData>
    <row r="1" spans="1:9" x14ac:dyDescent="0.25">
      <c r="A1" t="s">
        <v>27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s="2" t="s">
        <v>28</v>
      </c>
      <c r="I1" s="3" t="s">
        <v>29</v>
      </c>
    </row>
    <row r="2" spans="1:9" ht="15.75" thickBot="1" x14ac:dyDescent="0.3">
      <c r="A2" s="1">
        <v>41640</v>
      </c>
      <c r="B2">
        <v>3592</v>
      </c>
      <c r="C2">
        <v>4176.59</v>
      </c>
      <c r="D2">
        <v>1848.36</v>
      </c>
      <c r="E2">
        <v>992.47</v>
      </c>
      <c r="F2">
        <v>846.6</v>
      </c>
      <c r="G2">
        <v>365.61</v>
      </c>
      <c r="I2" s="4">
        <v>0.15838849855825854</v>
      </c>
    </row>
    <row r="3" spans="1:9" x14ac:dyDescent="0.25">
      <c r="A3" s="5">
        <v>41671</v>
      </c>
      <c r="B3" s="6">
        <v>3440.5</v>
      </c>
      <c r="C3" s="6">
        <v>3996.96</v>
      </c>
      <c r="D3" s="6">
        <v>1741.89</v>
      </c>
      <c r="E3" s="6">
        <v>939.68</v>
      </c>
      <c r="F3" s="6">
        <v>793.81</v>
      </c>
      <c r="G3" s="6">
        <v>369.8</v>
      </c>
      <c r="H3" s="7">
        <f>12*(B3-B2)/B2-'tassi 1 mese'!$D5</f>
        <v>-0.55612472160356352</v>
      </c>
      <c r="I3" s="8">
        <v>7.9614312884249638E-2</v>
      </c>
    </row>
    <row r="4" spans="1:9" x14ac:dyDescent="0.25">
      <c r="A4" s="9">
        <v>41699</v>
      </c>
      <c r="B4">
        <v>3668.37</v>
      </c>
      <c r="C4">
        <v>4277.3</v>
      </c>
      <c r="D4">
        <v>1845.73</v>
      </c>
      <c r="E4">
        <v>1003.33</v>
      </c>
      <c r="F4">
        <v>834.13</v>
      </c>
      <c r="G4">
        <v>399.07</v>
      </c>
      <c r="H4" s="2">
        <f>12*(B4-B3)/B3-'tassi 1 mese'!$D6</f>
        <v>0.74477982851329705</v>
      </c>
      <c r="I4" s="10">
        <v>2.7955411119264771E-2</v>
      </c>
    </row>
    <row r="5" spans="1:9" x14ac:dyDescent="0.25">
      <c r="A5" s="9">
        <v>41730</v>
      </c>
      <c r="B5">
        <v>3658.4</v>
      </c>
      <c r="C5">
        <v>4268.04</v>
      </c>
      <c r="D5">
        <v>1885.52</v>
      </c>
      <c r="E5">
        <v>1012.3</v>
      </c>
      <c r="F5">
        <v>863.76</v>
      </c>
      <c r="G5">
        <v>376.83</v>
      </c>
      <c r="H5" s="2">
        <f>12*(B5-B4)/B4-'tassi 1 mese'!$D7</f>
        <v>-6.261394025139165E-2</v>
      </c>
      <c r="I5" s="10">
        <v>3.968253968253968E-2</v>
      </c>
    </row>
    <row r="6" spans="1:9" x14ac:dyDescent="0.25">
      <c r="A6" s="9">
        <v>41760</v>
      </c>
      <c r="B6">
        <v>3594.36</v>
      </c>
      <c r="C6">
        <v>4127.45</v>
      </c>
      <c r="D6">
        <v>1883.68</v>
      </c>
      <c r="E6">
        <v>1005.72</v>
      </c>
      <c r="F6">
        <v>868.09</v>
      </c>
      <c r="G6">
        <v>357.72</v>
      </c>
      <c r="H6" s="2">
        <f>12*(B6-B5)/B5-'tassi 1 mese'!$D8</f>
        <v>-0.25005904220424219</v>
      </c>
      <c r="I6" s="10">
        <v>0.11141316457952671</v>
      </c>
    </row>
    <row r="7" spans="1:9" x14ac:dyDescent="0.25">
      <c r="A7" s="9">
        <v>41791</v>
      </c>
      <c r="B7">
        <v>3732.96</v>
      </c>
      <c r="C7">
        <v>4237.2</v>
      </c>
      <c r="D7">
        <v>1924.97</v>
      </c>
      <c r="E7">
        <v>1036.8599999999999</v>
      </c>
      <c r="F7">
        <v>878.69</v>
      </c>
      <c r="G7">
        <v>367.6</v>
      </c>
      <c r="H7" s="2">
        <f>12*(B7-B6)/B6-'tassi 1 mese'!$D9</f>
        <v>0.42272493573264752</v>
      </c>
      <c r="I7" s="10">
        <v>5.8741856242657271E-2</v>
      </c>
    </row>
    <row r="8" spans="1:9" x14ac:dyDescent="0.25">
      <c r="A8" s="9">
        <v>41821</v>
      </c>
      <c r="B8">
        <v>3894.33</v>
      </c>
      <c r="C8">
        <v>4458.6499999999996</v>
      </c>
      <c r="D8">
        <v>1973.32</v>
      </c>
      <c r="E8">
        <v>1065.3499999999999</v>
      </c>
      <c r="F8">
        <v>898.5</v>
      </c>
      <c r="G8">
        <v>385.55</v>
      </c>
      <c r="H8" s="2">
        <f>12*(B8-B7)/B7-'tassi 1 mese'!$D10</f>
        <v>0.48874115983026833</v>
      </c>
      <c r="I8" s="10">
        <v>1.8210955710955712E-2</v>
      </c>
    </row>
    <row r="9" spans="1:9" x14ac:dyDescent="0.25">
      <c r="A9" s="9">
        <v>41852</v>
      </c>
      <c r="B9">
        <v>3879.67</v>
      </c>
      <c r="C9">
        <v>4352.6400000000003</v>
      </c>
      <c r="D9">
        <v>1925.15</v>
      </c>
      <c r="E9">
        <v>1039.4000000000001</v>
      </c>
      <c r="F9">
        <v>876.52</v>
      </c>
      <c r="G9">
        <v>385.49</v>
      </c>
      <c r="H9" s="2">
        <f>12*(B9-B8)/B8-'tassi 1 mese'!$D11</f>
        <v>-7.517336743419234E-2</v>
      </c>
      <c r="I9" s="10">
        <v>4.8087431693989074E-2</v>
      </c>
    </row>
    <row r="10" spans="1:9" x14ac:dyDescent="0.25">
      <c r="A10" s="9">
        <v>41883</v>
      </c>
      <c r="B10">
        <v>4082.56</v>
      </c>
      <c r="C10">
        <v>4580.2700000000004</v>
      </c>
      <c r="D10">
        <v>2003.37</v>
      </c>
      <c r="E10">
        <v>1085.31</v>
      </c>
      <c r="F10">
        <v>908.72</v>
      </c>
      <c r="G10">
        <v>396.19</v>
      </c>
      <c r="H10" s="2">
        <f>12*(B10-B9)/B9-'tassi 1 mese'!$D12</f>
        <v>0.60754821930731184</v>
      </c>
      <c r="I10" s="10">
        <v>5.1301344095215293E-2</v>
      </c>
    </row>
    <row r="11" spans="1:9" x14ac:dyDescent="0.25">
      <c r="A11" s="9">
        <v>41913</v>
      </c>
      <c r="B11">
        <v>3984.74</v>
      </c>
      <c r="C11">
        <v>4422.09</v>
      </c>
      <c r="D11">
        <v>1946.16</v>
      </c>
      <c r="E11">
        <v>1056.79</v>
      </c>
      <c r="F11">
        <v>880.46</v>
      </c>
      <c r="G11">
        <v>397.76</v>
      </c>
      <c r="H11" s="2">
        <f>12*(B11-B10)/B10-'tassi 1 mese'!$D13</f>
        <v>-0.29752547421225944</v>
      </c>
      <c r="I11" s="10">
        <v>6.181379330644924E-2</v>
      </c>
    </row>
    <row r="12" spans="1:9" x14ac:dyDescent="0.25">
      <c r="A12" s="9">
        <v>41944</v>
      </c>
      <c r="B12">
        <v>4169.28</v>
      </c>
      <c r="C12">
        <v>4638.91</v>
      </c>
      <c r="D12">
        <v>2017.81</v>
      </c>
      <c r="E12">
        <v>1103.47</v>
      </c>
      <c r="F12">
        <v>905.6</v>
      </c>
      <c r="G12">
        <v>390.36</v>
      </c>
      <c r="H12" s="2">
        <f>12*(B12-B11)/B11-'tassi 1 mese'!$D14</f>
        <v>0.53574014866716513</v>
      </c>
      <c r="I12" s="10">
        <v>6.0610142097110915E-2</v>
      </c>
    </row>
    <row r="13" spans="1:9" x14ac:dyDescent="0.25">
      <c r="A13" s="9">
        <v>41974</v>
      </c>
      <c r="B13">
        <v>4287.8100000000004</v>
      </c>
      <c r="C13">
        <v>4727.3500000000004</v>
      </c>
      <c r="D13">
        <v>2053.44</v>
      </c>
      <c r="E13">
        <v>1123.21</v>
      </c>
      <c r="F13">
        <v>921.35</v>
      </c>
      <c r="G13">
        <v>387.74</v>
      </c>
      <c r="H13" s="2">
        <f>12*(B13-B12)/B12-'tassi 1 mese'!$D15</f>
        <v>0.30115242919640994</v>
      </c>
      <c r="I13" s="10">
        <v>7.9493888907290255E-2</v>
      </c>
    </row>
    <row r="14" spans="1:9" x14ac:dyDescent="0.25">
      <c r="A14" s="9">
        <v>42005</v>
      </c>
      <c r="B14">
        <v>4236.28</v>
      </c>
      <c r="C14">
        <v>4736.05</v>
      </c>
      <c r="D14">
        <v>2058.9</v>
      </c>
      <c r="E14">
        <v>1121.6199999999999</v>
      </c>
      <c r="F14">
        <v>927.97</v>
      </c>
      <c r="G14">
        <v>389.74</v>
      </c>
      <c r="H14" s="2">
        <f>12*(B14-B13)/B13-'tassi 1 mese'!$D16</f>
        <v>-0.16421347960847327</v>
      </c>
      <c r="I14" s="10">
        <v>6.1266167460857723E-2</v>
      </c>
    </row>
    <row r="15" spans="1:9" x14ac:dyDescent="0.25">
      <c r="A15" s="9">
        <v>42036</v>
      </c>
      <c r="B15">
        <v>4188.59</v>
      </c>
      <c r="C15">
        <v>4676.6899999999996</v>
      </c>
      <c r="D15">
        <v>2020.85</v>
      </c>
      <c r="E15">
        <v>1112.69</v>
      </c>
      <c r="F15">
        <v>900.32</v>
      </c>
      <c r="G15">
        <v>380.39</v>
      </c>
      <c r="H15" s="2">
        <f>12*(B15-B14)/B14-'tassi 1 mese'!$D17</f>
        <v>-0.15509022066529957</v>
      </c>
      <c r="I15" s="10">
        <v>8.1964413783682258E-2</v>
      </c>
    </row>
    <row r="16" spans="1:9" x14ac:dyDescent="0.25">
      <c r="A16" s="9">
        <v>42064</v>
      </c>
      <c r="B16">
        <v>4483.05</v>
      </c>
      <c r="C16">
        <v>5008.1000000000004</v>
      </c>
      <c r="D16">
        <v>2117.39</v>
      </c>
      <c r="E16">
        <v>1175.75</v>
      </c>
      <c r="F16">
        <v>934.52</v>
      </c>
      <c r="G16">
        <v>408.42</v>
      </c>
      <c r="H16" s="2">
        <f>12*(B16-B15)/B15-'tassi 1 mese'!$D18</f>
        <v>0.81360608223769815</v>
      </c>
      <c r="I16" s="10">
        <v>2.9235017053759946E-2</v>
      </c>
    </row>
    <row r="17" spans="1:9" x14ac:dyDescent="0.25">
      <c r="A17" s="9">
        <v>42095</v>
      </c>
      <c r="B17">
        <v>4311.26</v>
      </c>
      <c r="C17">
        <v>4880.2299999999996</v>
      </c>
      <c r="D17">
        <v>2059.69</v>
      </c>
      <c r="E17">
        <v>1139.2</v>
      </c>
      <c r="F17">
        <v>913.09</v>
      </c>
      <c r="G17">
        <v>399.96</v>
      </c>
      <c r="H17" s="2">
        <f>12*(B17-B16)/B16-'tassi 1 mese'!$D19</f>
        <v>-0.46983872586743392</v>
      </c>
      <c r="I17" s="10">
        <v>4.7444331983805668E-2</v>
      </c>
    </row>
    <row r="18" spans="1:9" x14ac:dyDescent="0.25">
      <c r="A18" s="9">
        <v>42125</v>
      </c>
      <c r="B18">
        <v>4479.0600000000004</v>
      </c>
      <c r="C18">
        <v>5005.3900000000003</v>
      </c>
      <c r="D18">
        <v>2108.29</v>
      </c>
      <c r="E18">
        <v>1164.4000000000001</v>
      </c>
      <c r="F18">
        <v>936.14</v>
      </c>
      <c r="G18">
        <v>397.94</v>
      </c>
      <c r="H18" s="2">
        <f>12*(B18-B17)/B17-'tassi 1 mese'!$D20</f>
        <v>0.45705603466272088</v>
      </c>
      <c r="I18" s="10">
        <v>1.0777410547492455E-2</v>
      </c>
    </row>
    <row r="19" spans="1:9" x14ac:dyDescent="0.25">
      <c r="A19" s="9">
        <v>42156</v>
      </c>
      <c r="B19">
        <v>4521.8500000000004</v>
      </c>
      <c r="C19">
        <v>5082.93</v>
      </c>
      <c r="D19">
        <v>2111.73</v>
      </c>
      <c r="E19">
        <v>1171.5999999999999</v>
      </c>
      <c r="F19">
        <v>932.92</v>
      </c>
      <c r="G19">
        <v>401.84</v>
      </c>
      <c r="H19" s="2">
        <f>12*(B19-B18)/B18-'tassi 1 mese'!$D21</f>
        <v>0.10464012538345088</v>
      </c>
      <c r="I19" s="10">
        <v>6.3319427890345656E-2</v>
      </c>
    </row>
    <row r="20" spans="1:9" x14ac:dyDescent="0.25">
      <c r="A20" s="9">
        <v>42186</v>
      </c>
      <c r="B20">
        <v>4429.2299999999996</v>
      </c>
      <c r="C20">
        <v>5013.12</v>
      </c>
      <c r="D20">
        <v>2077.42</v>
      </c>
      <c r="E20">
        <v>1152.25</v>
      </c>
      <c r="F20">
        <v>918.05</v>
      </c>
      <c r="G20">
        <v>402.86</v>
      </c>
      <c r="H20" s="2">
        <f>12*(B20-B19)/B19-'tassi 1 mese'!$D22</f>
        <v>-0.3257932041089398</v>
      </c>
      <c r="I20" s="10">
        <v>6.7417512690355327E-2</v>
      </c>
    </row>
    <row r="21" spans="1:9" x14ac:dyDescent="0.25">
      <c r="A21" s="9">
        <v>42217</v>
      </c>
      <c r="B21">
        <v>4580.46</v>
      </c>
      <c r="C21">
        <v>5115.38</v>
      </c>
      <c r="D21">
        <v>2098.04</v>
      </c>
      <c r="E21">
        <v>1182.43</v>
      </c>
      <c r="F21">
        <v>910.33</v>
      </c>
      <c r="G21">
        <v>459.92</v>
      </c>
      <c r="H21" s="2">
        <f>12*(B21-B20)/B20-'tassi 1 mese'!$D23</f>
        <v>0.32972358626668874</v>
      </c>
      <c r="I21" s="10">
        <v>2.3880026745629956E-2</v>
      </c>
    </row>
    <row r="22" spans="1:9" x14ac:dyDescent="0.25">
      <c r="A22" s="9">
        <v>42248</v>
      </c>
      <c r="B22">
        <v>4142.63</v>
      </c>
      <c r="C22">
        <v>4636.1000000000004</v>
      </c>
      <c r="D22">
        <v>1913.85</v>
      </c>
      <c r="E22">
        <v>1077.6600000000001</v>
      </c>
      <c r="F22">
        <v>831.28</v>
      </c>
      <c r="G22">
        <v>430.33</v>
      </c>
      <c r="H22" s="2">
        <f>12*(B22-B21)/B21-'tassi 1 mese'!$D24</f>
        <v>-1.1370376337747734</v>
      </c>
      <c r="I22" s="10">
        <v>4.1903830708523937E-2</v>
      </c>
    </row>
    <row r="23" spans="1:9" x14ac:dyDescent="0.25">
      <c r="A23" s="9">
        <v>42278</v>
      </c>
      <c r="B23">
        <v>4192.96</v>
      </c>
      <c r="C23">
        <v>4627.08</v>
      </c>
      <c r="D23">
        <v>1923.82</v>
      </c>
      <c r="E23">
        <v>1088.31</v>
      </c>
      <c r="F23">
        <v>828.18</v>
      </c>
      <c r="G23">
        <v>438.34</v>
      </c>
      <c r="H23" s="2">
        <f>12*(B23-B22)/B22-'tassi 1 mese'!$D25</f>
        <v>6.5791441668698172E-2</v>
      </c>
      <c r="I23" s="10">
        <v>3.187081695527462E-2</v>
      </c>
    </row>
    <row r="24" spans="1:9" x14ac:dyDescent="0.25">
      <c r="A24" s="9">
        <v>42309</v>
      </c>
      <c r="B24">
        <v>4703.91</v>
      </c>
      <c r="C24">
        <v>5127.1499999999996</v>
      </c>
      <c r="D24">
        <v>2104.0500000000002</v>
      </c>
      <c r="E24">
        <v>1196.9100000000001</v>
      </c>
      <c r="F24">
        <v>903.07</v>
      </c>
      <c r="G24">
        <v>506.55</v>
      </c>
      <c r="H24" s="2">
        <f>12*(B24-B23)/B23-'tassi 1 mese'!$D26</f>
        <v>1.2423082500190792</v>
      </c>
      <c r="I24" s="10">
        <v>3.9376279729091197E-2</v>
      </c>
    </row>
    <row r="25" spans="1:9" x14ac:dyDescent="0.25">
      <c r="A25" s="9">
        <v>42339</v>
      </c>
      <c r="B25">
        <v>4716.16</v>
      </c>
      <c r="C25">
        <v>5156.3100000000004</v>
      </c>
      <c r="D25">
        <v>2102.63</v>
      </c>
      <c r="E25">
        <v>1196.54</v>
      </c>
      <c r="F25">
        <v>902.07</v>
      </c>
      <c r="G25">
        <v>528.37</v>
      </c>
      <c r="H25" s="2">
        <f>12*(B25-B24)/B24-'tassi 1 mese'!$D27</f>
        <v>-0.1287494020931523</v>
      </c>
      <c r="I25" s="10">
        <v>4.3579889861732897E-2</v>
      </c>
    </row>
    <row r="26" spans="1:9" x14ac:dyDescent="0.25">
      <c r="A26" s="9">
        <v>42370</v>
      </c>
      <c r="B26">
        <v>4593.2700000000004</v>
      </c>
      <c r="C26">
        <v>5007.41</v>
      </c>
      <c r="D26">
        <v>2043.94</v>
      </c>
      <c r="E26">
        <v>1163.7</v>
      </c>
      <c r="F26">
        <v>876.09</v>
      </c>
      <c r="G26">
        <v>519.51</v>
      </c>
      <c r="H26" s="2">
        <f>12*(B26-B25)/B25-'tassi 1 mese'!$D28</f>
        <v>-0.63268659248201775</v>
      </c>
      <c r="I26" s="10">
        <v>3.7071362372567189E-2</v>
      </c>
    </row>
    <row r="27" spans="1:9" x14ac:dyDescent="0.25">
      <c r="A27" s="9">
        <v>42401</v>
      </c>
      <c r="B27">
        <v>4286.5600000000004</v>
      </c>
      <c r="C27">
        <v>4620.37</v>
      </c>
      <c r="D27">
        <v>1939.38</v>
      </c>
      <c r="E27">
        <v>1105.5999999999999</v>
      </c>
      <c r="F27">
        <v>830.15</v>
      </c>
      <c r="G27">
        <v>526.25</v>
      </c>
      <c r="H27" s="2">
        <f>12*(B27-B26)/B26-'tassi 1 mese'!$D29</f>
        <v>-1.1312853587966742</v>
      </c>
      <c r="I27" s="10">
        <v>7.6042998859355018E-2</v>
      </c>
    </row>
    <row r="28" spans="1:9" x14ac:dyDescent="0.25">
      <c r="A28" s="9">
        <v>42430</v>
      </c>
      <c r="B28">
        <v>4333.6099999999997</v>
      </c>
      <c r="C28">
        <v>4689.6000000000004</v>
      </c>
      <c r="D28">
        <v>1978.35</v>
      </c>
      <c r="E28">
        <v>1121.29</v>
      </c>
      <c r="F28">
        <v>851.97</v>
      </c>
      <c r="G28">
        <v>509.97</v>
      </c>
      <c r="H28" s="2">
        <f>12*(B28-B27)/B27-'tassi 1 mese'!$D30</f>
        <v>-7.8285991564333357E-2</v>
      </c>
      <c r="I28" s="10">
        <v>8.4141210901774288E-2</v>
      </c>
    </row>
    <row r="29" spans="1:9" x14ac:dyDescent="0.25">
      <c r="A29" s="9">
        <v>42461</v>
      </c>
      <c r="B29">
        <v>4532.08</v>
      </c>
      <c r="C29">
        <v>4914.54</v>
      </c>
      <c r="D29">
        <v>2072.7800000000002</v>
      </c>
      <c r="E29">
        <v>1175.6199999999999</v>
      </c>
      <c r="F29">
        <v>891.96</v>
      </c>
      <c r="G29">
        <v>533.29</v>
      </c>
      <c r="H29" s="2">
        <f>12*(B29-B28)/B28-'tassi 1 mese'!$D31</f>
        <v>0.32957414257397488</v>
      </c>
      <c r="I29" s="10">
        <v>4.1704579921140433E-2</v>
      </c>
    </row>
    <row r="30" spans="1:9" x14ac:dyDescent="0.25">
      <c r="A30" s="9">
        <v>42491</v>
      </c>
      <c r="B30">
        <v>4381.3</v>
      </c>
      <c r="C30">
        <v>4817.59</v>
      </c>
      <c r="D30">
        <v>2081.4299999999998</v>
      </c>
      <c r="E30">
        <v>1159.83</v>
      </c>
      <c r="F30">
        <v>912.11</v>
      </c>
      <c r="G30">
        <v>515.6</v>
      </c>
      <c r="H30" s="2">
        <f>12*(B30-B29)/B29-'tassi 1 mese'!$D32</f>
        <v>-0.73923390584455639</v>
      </c>
      <c r="I30" s="10">
        <v>2.6829174811237592E-2</v>
      </c>
    </row>
    <row r="31" spans="1:9" x14ac:dyDescent="0.25">
      <c r="A31" s="9">
        <v>42522</v>
      </c>
      <c r="B31">
        <v>4520.07</v>
      </c>
      <c r="C31">
        <v>4952.25</v>
      </c>
      <c r="D31">
        <v>2099.33</v>
      </c>
      <c r="E31">
        <v>1178.2</v>
      </c>
      <c r="F31">
        <v>913.27</v>
      </c>
      <c r="G31">
        <v>530.02</v>
      </c>
      <c r="H31" s="2">
        <f>12*(B31-B30)/B30-'tassi 1 mese'!$D33</f>
        <v>0.12007897199461215</v>
      </c>
      <c r="I31" s="10">
        <v>2.2543678376855156E-2</v>
      </c>
    </row>
    <row r="32" spans="1:9" x14ac:dyDescent="0.25">
      <c r="A32" s="9">
        <v>42552</v>
      </c>
      <c r="B32">
        <v>4437.4399999999996</v>
      </c>
      <c r="C32">
        <v>4862.57</v>
      </c>
      <c r="D32">
        <v>2102.9499999999998</v>
      </c>
      <c r="E32">
        <v>1175.24</v>
      </c>
      <c r="F32">
        <v>918.81</v>
      </c>
      <c r="G32">
        <v>509.07</v>
      </c>
      <c r="H32" s="2">
        <f>12*(B32-B31)/B31-'tassi 1 mese'!$D34</f>
        <v>-0.48936828411949407</v>
      </c>
      <c r="I32" s="10">
        <v>3.5310734463276837E-2</v>
      </c>
    </row>
    <row r="33" spans="1:9" x14ac:dyDescent="0.25">
      <c r="A33" s="9">
        <v>42583</v>
      </c>
      <c r="B33">
        <v>4756.04</v>
      </c>
      <c r="C33">
        <v>5184.2</v>
      </c>
      <c r="D33">
        <v>2170.84</v>
      </c>
      <c r="E33">
        <v>1228.55</v>
      </c>
      <c r="F33">
        <v>936.31</v>
      </c>
      <c r="G33">
        <v>562.69000000000005</v>
      </c>
      <c r="H33" s="2">
        <f>12*(B33-B32)/B32-'tassi 1 mese'!$D35</f>
        <v>0.53157784668637875</v>
      </c>
      <c r="I33" s="10">
        <v>1.9334132477475736E-2</v>
      </c>
    </row>
    <row r="34" spans="1:9" x14ac:dyDescent="0.25">
      <c r="A34" s="9">
        <v>42614</v>
      </c>
      <c r="B34">
        <v>4783.9399999999996</v>
      </c>
      <c r="C34">
        <v>5227.21</v>
      </c>
      <c r="D34">
        <v>2170.86</v>
      </c>
      <c r="E34">
        <v>1220.55</v>
      </c>
      <c r="F34">
        <v>942.66</v>
      </c>
      <c r="G34">
        <v>565.78</v>
      </c>
      <c r="H34" s="2">
        <f>12*(B34-B33)/B33-'tassi 1 mese'!$D36</f>
        <v>-0.20960530188980842</v>
      </c>
      <c r="I34" s="10">
        <v>4.9875311720698257E-2</v>
      </c>
    </row>
    <row r="35" spans="1:9" x14ac:dyDescent="0.25">
      <c r="A35" s="9">
        <v>42644</v>
      </c>
      <c r="B35">
        <v>4866.63</v>
      </c>
      <c r="C35">
        <v>5300.87</v>
      </c>
      <c r="D35">
        <v>2161.1999999999998</v>
      </c>
      <c r="E35">
        <v>1218.78</v>
      </c>
      <c r="F35">
        <v>935.54</v>
      </c>
      <c r="G35">
        <v>572.86</v>
      </c>
      <c r="H35" s="2">
        <f>12*(B35-B34)/B34-'tassi 1 mese'!$D37</f>
        <v>-0.13258101063140296</v>
      </c>
      <c r="I35" s="10">
        <v>3.8470416249903827E-2</v>
      </c>
    </row>
    <row r="36" spans="1:9" x14ac:dyDescent="0.25">
      <c r="A36" s="9">
        <v>42675</v>
      </c>
      <c r="B36">
        <v>4766.9399999999996</v>
      </c>
      <c r="C36">
        <v>5153.58</v>
      </c>
      <c r="D36">
        <v>2111.7199999999998</v>
      </c>
      <c r="E36">
        <v>1186.02</v>
      </c>
      <c r="F36">
        <v>918.03</v>
      </c>
      <c r="G36">
        <v>575.16</v>
      </c>
      <c r="H36" s="2">
        <f>12*(B36-B35)/B35-'tassi 1 mese'!$D38</f>
        <v>-0.72581281091843963</v>
      </c>
      <c r="I36" s="10">
        <v>3.9035053478023267E-2</v>
      </c>
    </row>
    <row r="37" spans="1:9" x14ac:dyDescent="0.25">
      <c r="A37" s="9">
        <v>42705</v>
      </c>
      <c r="B37">
        <v>4734.1000000000004</v>
      </c>
      <c r="C37">
        <v>5251.11</v>
      </c>
      <c r="D37">
        <v>2191.08</v>
      </c>
      <c r="E37">
        <v>1195.73</v>
      </c>
      <c r="F37">
        <v>980.59</v>
      </c>
      <c r="G37">
        <v>534.84</v>
      </c>
      <c r="H37" s="2">
        <f>12*(B37-B36)/B36-'tassi 1 mese'!$D39</f>
        <v>-0.58266938539188473</v>
      </c>
      <c r="I37" s="10">
        <v>7.5455879270593162E-2</v>
      </c>
    </row>
    <row r="38" spans="1:9" x14ac:dyDescent="0.25">
      <c r="A38" s="9">
        <v>42736</v>
      </c>
      <c r="B38">
        <v>4863.62</v>
      </c>
      <c r="C38">
        <v>5383.12</v>
      </c>
      <c r="D38">
        <v>2238.83</v>
      </c>
      <c r="E38">
        <v>1223.02</v>
      </c>
      <c r="F38">
        <v>1001.12</v>
      </c>
      <c r="G38">
        <v>546.4</v>
      </c>
      <c r="H38" s="2">
        <f>12*(B38-B37)/B37-'tassi 1 mese'!$D40</f>
        <v>-0.19169261316829089</v>
      </c>
      <c r="I38" s="10">
        <v>3.5698702947126251E-2</v>
      </c>
    </row>
    <row r="39" spans="1:9" x14ac:dyDescent="0.25">
      <c r="A39" s="9">
        <v>42767</v>
      </c>
      <c r="B39">
        <v>5152.6899999999996</v>
      </c>
      <c r="C39">
        <v>5642.65</v>
      </c>
      <c r="D39">
        <v>2279.5500000000002</v>
      </c>
      <c r="E39">
        <v>1261.7</v>
      </c>
      <c r="F39">
        <v>1004.23</v>
      </c>
      <c r="G39">
        <v>589.37</v>
      </c>
      <c r="H39" s="2">
        <f>12*(B39-B38)/B38-'tassi 1 mese'!$D41</f>
        <v>0.18322183887721422</v>
      </c>
      <c r="I39" s="10">
        <v>2.1807397069085833E-2</v>
      </c>
    </row>
    <row r="40" spans="1:9" x14ac:dyDescent="0.25">
      <c r="A40" s="9">
        <v>42795</v>
      </c>
      <c r="B40">
        <v>5390.99</v>
      </c>
      <c r="C40">
        <v>5904.03</v>
      </c>
      <c r="D40">
        <v>2395.96</v>
      </c>
      <c r="E40">
        <v>1323.95</v>
      </c>
      <c r="F40">
        <v>1057.51</v>
      </c>
      <c r="G40">
        <v>614.54</v>
      </c>
      <c r="H40" s="2">
        <f>12*(B40-B39)/B39-'tassi 1 mese'!$D42</f>
        <v>-0.19502774279065838</v>
      </c>
      <c r="I40" s="10">
        <v>8.9921025881617017E-2</v>
      </c>
    </row>
    <row r="41" spans="1:9" x14ac:dyDescent="0.25">
      <c r="A41" s="9">
        <v>42826</v>
      </c>
      <c r="B41">
        <v>5432.2</v>
      </c>
      <c r="C41">
        <v>5894.68</v>
      </c>
      <c r="D41">
        <v>2358.84</v>
      </c>
      <c r="E41">
        <v>1320.52</v>
      </c>
      <c r="F41">
        <v>1025.4000000000001</v>
      </c>
      <c r="G41">
        <v>622.19000000000005</v>
      </c>
      <c r="H41" s="2">
        <f>12*(B41-B40)/B40-'tassi 1 mese'!$D43</f>
        <v>-0.69826916762969315</v>
      </c>
      <c r="I41" s="10">
        <v>5.3342816500711238E-2</v>
      </c>
    </row>
    <row r="42" spans="1:9" x14ac:dyDescent="0.25">
      <c r="A42" s="9">
        <v>42856</v>
      </c>
      <c r="B42">
        <v>5629.63</v>
      </c>
      <c r="C42">
        <v>6091.6</v>
      </c>
      <c r="D42">
        <v>2388.33</v>
      </c>
      <c r="E42">
        <v>1351.25</v>
      </c>
      <c r="F42">
        <v>1025.0899999999999</v>
      </c>
      <c r="G42">
        <v>669.47</v>
      </c>
      <c r="H42" s="2">
        <f>12*(B42-B41)/B41-'tassi 1 mese'!$D44</f>
        <v>-0.52386730974559037</v>
      </c>
      <c r="I42" s="10">
        <v>0.35496957403651114</v>
      </c>
    </row>
    <row r="43" spans="1:9" x14ac:dyDescent="0.25">
      <c r="A43" s="9">
        <v>42887</v>
      </c>
      <c r="B43">
        <v>5816.51</v>
      </c>
      <c r="C43">
        <v>6246.83</v>
      </c>
      <c r="D43">
        <v>2430.06</v>
      </c>
      <c r="E43">
        <v>1389.73</v>
      </c>
      <c r="F43">
        <v>1029.27</v>
      </c>
      <c r="G43">
        <v>690.6</v>
      </c>
      <c r="H43" s="2">
        <f>12*(B43-B42)/B42-'tassi 1 mese'!$D45</f>
        <v>-0.61165055252298983</v>
      </c>
      <c r="I43" s="10">
        <v>0.16004518922990021</v>
      </c>
    </row>
    <row r="44" spans="1:9" x14ac:dyDescent="0.25">
      <c r="A44" s="9">
        <v>42917</v>
      </c>
      <c r="B44">
        <v>5596.96</v>
      </c>
      <c r="C44">
        <v>6110.06</v>
      </c>
      <c r="D44">
        <v>2429.0100000000002</v>
      </c>
      <c r="E44">
        <v>1371.6</v>
      </c>
      <c r="F44">
        <v>1045.06</v>
      </c>
      <c r="G44">
        <v>658.93</v>
      </c>
      <c r="H44" s="2">
        <f>12*(B44-B43)/B43-'tassi 1 mese'!$D46</f>
        <v>-1.5029520279342772</v>
      </c>
      <c r="I44" s="10">
        <v>8.2555079717248847E-2</v>
      </c>
    </row>
    <row r="45" spans="1:9" x14ac:dyDescent="0.25">
      <c r="A45" s="9">
        <v>42948</v>
      </c>
      <c r="B45">
        <v>5895.17</v>
      </c>
      <c r="C45">
        <v>6362.94</v>
      </c>
      <c r="D45">
        <v>2476.35</v>
      </c>
      <c r="E45">
        <v>1412.03</v>
      </c>
      <c r="F45">
        <v>1052.68</v>
      </c>
      <c r="G45">
        <v>707.54</v>
      </c>
      <c r="H45" s="2">
        <f>12*(B45-B44)/B44-'tassi 1 mese'!$D47</f>
        <v>-0.35063148566364588</v>
      </c>
      <c r="I45" s="10">
        <v>3.9996000399960006E-2</v>
      </c>
    </row>
    <row r="46" spans="1:9" x14ac:dyDescent="0.25">
      <c r="A46" s="9">
        <v>42979</v>
      </c>
      <c r="B46">
        <v>5987.9</v>
      </c>
      <c r="C46">
        <v>6435.33</v>
      </c>
      <c r="D46">
        <v>2476.5500000000002</v>
      </c>
      <c r="E46">
        <v>1427.91</v>
      </c>
      <c r="F46">
        <v>1038.0999999999999</v>
      </c>
      <c r="G46">
        <v>714.12</v>
      </c>
      <c r="H46" s="2">
        <f>12*(B46-B45)/B45-'tassi 1 mese'!$D48</f>
        <v>-0.8512420846218185</v>
      </c>
      <c r="I46" s="10">
        <v>0.19178213549407871</v>
      </c>
    </row>
    <row r="47" spans="1:9" x14ac:dyDescent="0.25">
      <c r="A47" s="9">
        <v>43009</v>
      </c>
      <c r="B47">
        <v>5981.92</v>
      </c>
      <c r="C47">
        <v>6516.72</v>
      </c>
      <c r="D47">
        <v>2529.12</v>
      </c>
      <c r="E47">
        <v>1444.71</v>
      </c>
      <c r="F47">
        <v>1072.67</v>
      </c>
      <c r="G47">
        <v>718.66</v>
      </c>
      <c r="H47" s="2">
        <f>12*(B47-B46)/B46-'tassi 1 mese'!$D49</f>
        <v>-1.1419841680722782</v>
      </c>
      <c r="I47" s="10">
        <v>0.10109519797809605</v>
      </c>
    </row>
    <row r="48" spans="1:9" x14ac:dyDescent="0.25">
      <c r="A48" s="9">
        <v>43040</v>
      </c>
      <c r="B48">
        <v>6248.65</v>
      </c>
      <c r="C48">
        <v>6716.53</v>
      </c>
      <c r="D48">
        <v>2579.36</v>
      </c>
      <c r="E48">
        <v>1488.03</v>
      </c>
      <c r="F48">
        <v>1080.4000000000001</v>
      </c>
      <c r="G48">
        <v>770.74</v>
      </c>
      <c r="H48" s="2">
        <f>12*(B48-B47)/B47-'tassi 1 mese'!$D50</f>
        <v>-0.71492764864792668</v>
      </c>
      <c r="I48" s="10">
        <v>6.4146424905918584E-2</v>
      </c>
    </row>
    <row r="49" spans="1:9" x14ac:dyDescent="0.25">
      <c r="A49" s="9">
        <v>43070</v>
      </c>
      <c r="B49">
        <v>6337.87</v>
      </c>
      <c r="C49">
        <v>6847.59</v>
      </c>
      <c r="D49">
        <v>2642.22</v>
      </c>
      <c r="E49">
        <v>1521.06</v>
      </c>
      <c r="F49">
        <v>1109.73</v>
      </c>
      <c r="G49">
        <v>750.55</v>
      </c>
      <c r="H49" s="2">
        <f>12*(B49-B48)/B48-'tassi 1 mese'!$D51</f>
        <v>-1.198660590687588</v>
      </c>
      <c r="I49" s="10">
        <v>5.8128269715171481E-2</v>
      </c>
    </row>
    <row r="50" spans="1:9" x14ac:dyDescent="0.25">
      <c r="A50" s="9">
        <v>43101</v>
      </c>
      <c r="B50">
        <v>6396.42</v>
      </c>
      <c r="C50">
        <v>6903.39</v>
      </c>
      <c r="D50">
        <v>2673.61</v>
      </c>
      <c r="E50">
        <v>1533.38</v>
      </c>
      <c r="F50">
        <v>1126.98</v>
      </c>
      <c r="G50">
        <v>769.07</v>
      </c>
      <c r="H50" s="2">
        <f>12*(B50-B49)/B49-'tassi 1 mese'!$D52</f>
        <v>-1.3291425668245005</v>
      </c>
      <c r="I50" s="10">
        <v>4.3893874365977373E-2</v>
      </c>
    </row>
    <row r="51" spans="1:9" x14ac:dyDescent="0.25">
      <c r="A51" s="9">
        <v>43132</v>
      </c>
      <c r="B51">
        <v>6901.5</v>
      </c>
      <c r="C51">
        <v>7385.86</v>
      </c>
      <c r="D51">
        <v>2821.98</v>
      </c>
      <c r="E51">
        <v>1639.04</v>
      </c>
      <c r="F51">
        <v>1173.68</v>
      </c>
      <c r="G51">
        <v>854.54</v>
      </c>
      <c r="H51" s="2">
        <f>12*(B51-B50)/B50-'tassi 1 mese'!$D53</f>
        <v>-0.68244496140028332</v>
      </c>
      <c r="I51" s="10">
        <v>3.3655464205009859E-2</v>
      </c>
    </row>
    <row r="52" spans="1:9" x14ac:dyDescent="0.25">
      <c r="A52" s="9">
        <v>43160</v>
      </c>
      <c r="B52">
        <v>6750.54</v>
      </c>
      <c r="C52">
        <v>7180.56</v>
      </c>
      <c r="D52">
        <v>2677.67</v>
      </c>
      <c r="E52">
        <v>1583.29</v>
      </c>
      <c r="F52">
        <v>1092.04</v>
      </c>
      <c r="G52">
        <v>780.2</v>
      </c>
      <c r="H52" s="2">
        <f>12*(B52-B51)/B51-'tassi 1 mese'!$D54</f>
        <v>-1.9624820691154097</v>
      </c>
      <c r="I52" s="10">
        <v>6.6438391168804622E-2</v>
      </c>
    </row>
    <row r="53" spans="1:9" x14ac:dyDescent="0.25">
      <c r="A53" s="9">
        <v>43191</v>
      </c>
      <c r="B53">
        <v>6390.84</v>
      </c>
      <c r="C53">
        <v>6870.12</v>
      </c>
      <c r="D53">
        <v>2581.88</v>
      </c>
      <c r="E53">
        <v>1520.76</v>
      </c>
      <c r="F53">
        <v>1057.58</v>
      </c>
      <c r="G53">
        <v>718.99</v>
      </c>
      <c r="H53" s="2">
        <f>12*(B53-B52)/B52-'tassi 1 mese'!$D55</f>
        <v>-2.4794155134255922</v>
      </c>
      <c r="I53" s="10">
        <v>7.8868240745304879E-2</v>
      </c>
    </row>
    <row r="54" spans="1:9" x14ac:dyDescent="0.25">
      <c r="A54" s="9">
        <v>43221</v>
      </c>
      <c r="B54">
        <v>6681.96</v>
      </c>
      <c r="C54">
        <v>7130.7</v>
      </c>
      <c r="D54">
        <v>2654.8</v>
      </c>
      <c r="E54">
        <v>1571.68</v>
      </c>
      <c r="F54">
        <v>1081.27</v>
      </c>
      <c r="G54">
        <v>761.22</v>
      </c>
      <c r="H54" s="2">
        <f>12*(B54-B53)/B53-'tassi 1 mese'!$D56</f>
        <v>-1.3433676324239068</v>
      </c>
      <c r="I54" s="10">
        <v>4.9084572718794482E-2</v>
      </c>
    </row>
    <row r="55" spans="1:9" x14ac:dyDescent="0.25">
      <c r="A55" s="9">
        <v>43252</v>
      </c>
      <c r="B55">
        <v>7083.93</v>
      </c>
      <c r="C55">
        <v>7554.33</v>
      </c>
      <c r="D55">
        <v>2734.62</v>
      </c>
      <c r="E55">
        <v>1647.63</v>
      </c>
      <c r="F55">
        <v>1091.49</v>
      </c>
      <c r="G55">
        <v>833.11</v>
      </c>
      <c r="H55" s="2">
        <f>12*(B55-B54)/B54-'tassi 1 mese'!$D57</f>
        <v>-1.1681100156241575</v>
      </c>
      <c r="I55" s="10">
        <v>7.468259895444361E-2</v>
      </c>
    </row>
    <row r="56" spans="1:9" x14ac:dyDescent="0.25">
      <c r="A56" s="9">
        <v>43282</v>
      </c>
      <c r="B56">
        <v>7097.82</v>
      </c>
      <c r="C56">
        <v>7567.69</v>
      </c>
      <c r="D56">
        <v>2726.71</v>
      </c>
      <c r="E56">
        <v>1643.28</v>
      </c>
      <c r="F56">
        <v>1088.03</v>
      </c>
      <c r="G56">
        <v>843.13</v>
      </c>
      <c r="H56" s="2">
        <f>12*(B56-B55)/B55-'tassi 1 mese'!$D58</f>
        <v>-1.9664706878808806</v>
      </c>
      <c r="I56" s="10">
        <v>3.1687351465540005E-2</v>
      </c>
    </row>
    <row r="57" spans="1:9" x14ac:dyDescent="0.25">
      <c r="A57" s="9">
        <v>43313</v>
      </c>
      <c r="B57">
        <v>7272.89</v>
      </c>
      <c r="C57">
        <v>7707.29</v>
      </c>
      <c r="D57">
        <v>2813.36</v>
      </c>
      <c r="E57">
        <v>1694.33</v>
      </c>
      <c r="F57">
        <v>1123.52</v>
      </c>
      <c r="G57">
        <v>830.94</v>
      </c>
      <c r="H57" s="2">
        <f>12*(B57-B56)/B56-'tassi 1 mese'!$D59</f>
        <v>-1.7740161627091122</v>
      </c>
      <c r="I57" s="10">
        <v>7.2615049469002449E-2</v>
      </c>
    </row>
    <row r="58" spans="1:9" x14ac:dyDescent="0.25">
      <c r="A58" s="9">
        <v>43344</v>
      </c>
      <c r="B58">
        <v>7654.55</v>
      </c>
      <c r="C58">
        <v>8109.54</v>
      </c>
      <c r="D58">
        <v>2901.52</v>
      </c>
      <c r="E58">
        <v>1768.39</v>
      </c>
      <c r="F58">
        <v>1142.3399999999999</v>
      </c>
      <c r="G58">
        <v>840.43</v>
      </c>
      <c r="H58" s="2">
        <f>12*(B58-B57)/B57-'tassi 1 mese'!$D60</f>
        <v>-1.5202750900948594</v>
      </c>
      <c r="I58" s="10">
        <v>7.9058735990326937E-2</v>
      </c>
    </row>
    <row r="59" spans="1:9" x14ac:dyDescent="0.25">
      <c r="A59" s="9">
        <v>43374</v>
      </c>
      <c r="B59">
        <v>7645.45</v>
      </c>
      <c r="C59">
        <v>8037.3</v>
      </c>
      <c r="D59">
        <v>2924.59</v>
      </c>
      <c r="E59">
        <v>1785.51</v>
      </c>
      <c r="F59">
        <v>1149.05</v>
      </c>
      <c r="G59">
        <v>784.87</v>
      </c>
      <c r="H59" s="2">
        <f>12*(B59-B58)/B58-'tassi 1 mese'!$D61</f>
        <v>-2.3042660247826463</v>
      </c>
      <c r="I59" s="10">
        <v>5.5105760671442502E-2</v>
      </c>
    </row>
    <row r="60" spans="1:9" x14ac:dyDescent="0.25">
      <c r="A60" s="9">
        <v>43405</v>
      </c>
      <c r="B60">
        <v>7069.17</v>
      </c>
      <c r="C60">
        <v>7434.06</v>
      </c>
      <c r="D60">
        <v>2740.37</v>
      </c>
      <c r="E60">
        <v>1655.03</v>
      </c>
      <c r="F60">
        <v>1090.73</v>
      </c>
      <c r="G60">
        <v>733.31</v>
      </c>
      <c r="H60" s="2">
        <f>12*(B60-B59)/B59-'tassi 1 mese'!$D62</f>
        <v>-3.2245066019658744</v>
      </c>
      <c r="I60" s="10">
        <v>4.8296216796350953E-2</v>
      </c>
    </row>
    <row r="61" spans="1:9" x14ac:dyDescent="0.25">
      <c r="A61" s="9">
        <v>43435</v>
      </c>
      <c r="B61">
        <v>7062.13</v>
      </c>
      <c r="C61">
        <v>7441.51</v>
      </c>
      <c r="D61">
        <v>2790.37</v>
      </c>
      <c r="E61">
        <v>1679.45</v>
      </c>
      <c r="F61">
        <v>1115.1400000000001</v>
      </c>
      <c r="G61">
        <v>777.11</v>
      </c>
      <c r="H61" s="2">
        <f>12*(B61-B60)/B60-'tassi 1 mese'!$D63</f>
        <v>-2.4119504835786945</v>
      </c>
      <c r="I61" s="10">
        <v>9.2368907204774767E-2</v>
      </c>
    </row>
    <row r="62" spans="1:9" x14ac:dyDescent="0.25">
      <c r="A62" s="9">
        <v>43466</v>
      </c>
      <c r="B62">
        <v>6329.96</v>
      </c>
      <c r="C62">
        <v>6635.28</v>
      </c>
      <c r="D62">
        <v>2506.85</v>
      </c>
      <c r="E62">
        <v>1512.02</v>
      </c>
      <c r="F62">
        <v>999.7</v>
      </c>
      <c r="G62">
        <v>704.02</v>
      </c>
      <c r="H62" s="2">
        <f>12*(B62-B61)/B61-'tassi 1 mese'!$D64</f>
        <v>-3.6041062399021255</v>
      </c>
      <c r="I62" s="10">
        <v>7.7974736185475901E-2</v>
      </c>
    </row>
    <row r="63" spans="1:9" x14ac:dyDescent="0.25">
      <c r="A63" s="9">
        <v>43497</v>
      </c>
      <c r="B63">
        <v>6875.52</v>
      </c>
      <c r="C63">
        <v>7263.87</v>
      </c>
      <c r="D63">
        <v>2706.53</v>
      </c>
      <c r="E63">
        <v>1623.74</v>
      </c>
      <c r="F63">
        <v>1085.73</v>
      </c>
      <c r="G63">
        <v>788.54</v>
      </c>
      <c r="H63" s="2">
        <f>12*(B63-B62)/B62-'tassi 1 mese'!$D65</f>
        <v>-1.3657564976713905</v>
      </c>
      <c r="I63" s="10">
        <v>2.7357909855687024E-2</v>
      </c>
    </row>
    <row r="64" spans="1:9" x14ac:dyDescent="0.25">
      <c r="A64" s="9">
        <v>43525</v>
      </c>
      <c r="B64">
        <v>7151.57</v>
      </c>
      <c r="C64">
        <v>7595.35</v>
      </c>
      <c r="D64">
        <v>2803.69</v>
      </c>
      <c r="E64">
        <v>1700.42</v>
      </c>
      <c r="F64">
        <v>1111.2</v>
      </c>
      <c r="G64">
        <v>842.43</v>
      </c>
      <c r="H64" s="2">
        <f>12*(B64-B63)/B63-'tassi 1 mese'!$D66</f>
        <v>-1.8682037140463572</v>
      </c>
      <c r="I64" s="10">
        <v>3.3471682956219037E-2</v>
      </c>
    </row>
    <row r="65" spans="1:9" x14ac:dyDescent="0.25">
      <c r="A65" s="9">
        <v>43556</v>
      </c>
      <c r="B65">
        <v>7478.42</v>
      </c>
      <c r="C65">
        <v>7828.91</v>
      </c>
      <c r="D65">
        <v>2867.19</v>
      </c>
      <c r="E65">
        <v>1749.1</v>
      </c>
      <c r="F65">
        <v>1128.8900000000001</v>
      </c>
      <c r="G65">
        <v>866.8</v>
      </c>
      <c r="H65" s="2">
        <f>12*(B65-B64)/B64-'tassi 1 mese'!$D67</f>
        <v>-1.8315609859093871</v>
      </c>
      <c r="I65" s="10">
        <v>6.2094659859252103E-2</v>
      </c>
    </row>
    <row r="66" spans="1:9" x14ac:dyDescent="0.25">
      <c r="A66" s="9">
        <v>43586</v>
      </c>
      <c r="B66">
        <v>7751.85</v>
      </c>
      <c r="C66">
        <v>8049.64</v>
      </c>
      <c r="D66">
        <v>2923.73</v>
      </c>
      <c r="E66">
        <v>1780.19</v>
      </c>
      <c r="F66">
        <v>1153.6500000000001</v>
      </c>
      <c r="G66">
        <v>927.48</v>
      </c>
      <c r="H66" s="2">
        <f>12*(B66-B65)/B65-'tassi 1 mese'!$D68</f>
        <v>-1.8612495687591757</v>
      </c>
      <c r="I66" s="10">
        <v>7.7667582745847771E-2</v>
      </c>
    </row>
    <row r="67" spans="1:9" x14ac:dyDescent="0.25">
      <c r="A67" s="9">
        <v>43617</v>
      </c>
      <c r="B67">
        <v>6978.02</v>
      </c>
      <c r="C67">
        <v>7333.02</v>
      </c>
      <c r="D67">
        <v>2744.45</v>
      </c>
      <c r="E67">
        <v>1681.66</v>
      </c>
      <c r="F67">
        <v>1075.0899999999999</v>
      </c>
      <c r="G67">
        <v>879.53</v>
      </c>
      <c r="H67" s="2">
        <f>12*(B67-B66)/B66-'tassi 1 mese'!$D69</f>
        <v>-3.277902436192651</v>
      </c>
      <c r="I67" s="10">
        <v>8.7477289549828405E-2</v>
      </c>
    </row>
    <row r="68" spans="1:9" x14ac:dyDescent="0.25">
      <c r="A68" s="9">
        <v>43647</v>
      </c>
      <c r="B68">
        <v>7768.14</v>
      </c>
      <c r="C68">
        <v>8091.16</v>
      </c>
      <c r="D68">
        <v>2964.33</v>
      </c>
      <c r="E68">
        <v>1817.62</v>
      </c>
      <c r="F68">
        <v>1160.3499999999999</v>
      </c>
      <c r="G68">
        <v>973.4</v>
      </c>
      <c r="H68" s="2">
        <f>12*(B68-B67)/B67-'tassi 1 mese'!$D70</f>
        <v>-0.68124207153318594</v>
      </c>
      <c r="I68" s="10">
        <v>0.13454834566693169</v>
      </c>
    </row>
    <row r="69" spans="1:9" x14ac:dyDescent="0.25">
      <c r="A69" s="9">
        <v>43678</v>
      </c>
      <c r="B69">
        <v>7801.15</v>
      </c>
      <c r="C69">
        <v>8111.12</v>
      </c>
      <c r="D69">
        <v>2953.56</v>
      </c>
      <c r="E69">
        <v>1813.74</v>
      </c>
      <c r="F69">
        <v>1154.0999999999999</v>
      </c>
      <c r="G69">
        <v>1021.73</v>
      </c>
      <c r="H69" s="2">
        <f>12*(B69-B68)/B68-'tassi 1 mese'!$D71</f>
        <v>-1.8990070982242864</v>
      </c>
      <c r="I69" s="10">
        <v>0.11876484560570071</v>
      </c>
    </row>
    <row r="70" spans="1:9" x14ac:dyDescent="0.25">
      <c r="A70" s="9">
        <v>43709</v>
      </c>
      <c r="B70">
        <v>7691</v>
      </c>
      <c r="C70">
        <v>7962.88</v>
      </c>
      <c r="D70">
        <v>2926.46</v>
      </c>
      <c r="E70">
        <v>1806.26</v>
      </c>
      <c r="F70">
        <v>1136.73</v>
      </c>
      <c r="G70">
        <v>991.45</v>
      </c>
      <c r="H70" s="2">
        <f>12*(B70-B69)/B69-'tassi 1 mese'!$D72</f>
        <v>-2.009436557430635</v>
      </c>
      <c r="I70" s="10">
        <v>3.1111940762864786E-2</v>
      </c>
    </row>
    <row r="71" spans="1:9" x14ac:dyDescent="0.25">
      <c r="A71" s="9">
        <v>43739</v>
      </c>
      <c r="B71">
        <v>7684.14</v>
      </c>
      <c r="C71">
        <v>7908.67</v>
      </c>
      <c r="D71">
        <v>2940.25</v>
      </c>
      <c r="E71">
        <v>1789.19</v>
      </c>
      <c r="F71">
        <v>1161.04</v>
      </c>
      <c r="G71">
        <v>943.04</v>
      </c>
      <c r="H71" s="2">
        <f>12*(B71-B70)/B70-'tassi 1 mese'!$D73</f>
        <v>-1.5207034195813283</v>
      </c>
      <c r="I71" s="10">
        <v>4.4365572315882874E-2</v>
      </c>
    </row>
    <row r="72" spans="1:9" x14ac:dyDescent="0.25">
      <c r="A72" s="9">
        <v>43770</v>
      </c>
      <c r="B72">
        <v>8161.17</v>
      </c>
      <c r="C72">
        <v>8386.4</v>
      </c>
      <c r="D72">
        <v>3066.91</v>
      </c>
      <c r="E72">
        <v>1850.4</v>
      </c>
      <c r="F72">
        <v>1222.9100000000001</v>
      </c>
      <c r="G72">
        <v>938.49</v>
      </c>
      <c r="H72" s="2">
        <f>12*(B72-B71)/B71-'tassi 1 mese'!$D74</f>
        <v>-0.81504220381200809</v>
      </c>
      <c r="I72" s="10">
        <v>8.3942918815205658E-2</v>
      </c>
    </row>
    <row r="73" spans="1:9" x14ac:dyDescent="0.25">
      <c r="A73" s="9">
        <v>43800</v>
      </c>
      <c r="B73">
        <v>8309.26</v>
      </c>
      <c r="C73">
        <v>8567.99</v>
      </c>
      <c r="D73">
        <v>3113.87</v>
      </c>
      <c r="E73">
        <v>1880.25</v>
      </c>
      <c r="F73">
        <v>1240.5</v>
      </c>
      <c r="G73">
        <v>920.97</v>
      </c>
      <c r="H73" s="2">
        <f>12*(B73-B72)/B72-'tassi 1 mese'!$D75</f>
        <v>-1.302251809483199</v>
      </c>
      <c r="I73" s="10">
        <v>7.9787234042553196E-2</v>
      </c>
    </row>
    <row r="74" spans="1:9" x14ac:dyDescent="0.25">
      <c r="A74" s="9">
        <v>43831</v>
      </c>
      <c r="B74">
        <v>8733.07</v>
      </c>
      <c r="C74">
        <v>8972.6</v>
      </c>
      <c r="D74">
        <v>3230.78</v>
      </c>
      <c r="E74">
        <v>1952.62</v>
      </c>
      <c r="F74">
        <v>1285.77</v>
      </c>
      <c r="G74">
        <v>946.66</v>
      </c>
      <c r="H74" s="2">
        <f>12*(B74-B73)/B73-'tassi 1 mese'!$D76</f>
        <v>-0.90794549695159454</v>
      </c>
      <c r="I74" s="10">
        <v>0.16877637130801687</v>
      </c>
    </row>
    <row r="75" spans="1:9" x14ac:dyDescent="0.25">
      <c r="A75" s="9">
        <v>43862</v>
      </c>
      <c r="B75">
        <v>9126.23</v>
      </c>
      <c r="C75">
        <v>9273.4</v>
      </c>
      <c r="D75">
        <v>3248.92</v>
      </c>
      <c r="E75">
        <v>2017.14</v>
      </c>
      <c r="F75">
        <v>1253.31</v>
      </c>
      <c r="G75">
        <v>1031.27</v>
      </c>
      <c r="H75" s="2">
        <f>12*(B75-B74)/B74-'tassi 1 mese'!$D77</f>
        <v>-0.70976386310884965</v>
      </c>
      <c r="I75" s="10">
        <v>5.8053280010320583E-2</v>
      </c>
    </row>
    <row r="76" spans="1:9" x14ac:dyDescent="0.25">
      <c r="A76" s="9">
        <v>43891</v>
      </c>
      <c r="B76">
        <v>8877.98</v>
      </c>
      <c r="C76">
        <v>8952.16</v>
      </c>
      <c r="D76">
        <v>3090.23</v>
      </c>
      <c r="E76">
        <v>1937.9</v>
      </c>
      <c r="F76">
        <v>1177.81</v>
      </c>
      <c r="G76">
        <v>979.17</v>
      </c>
      <c r="H76" s="2">
        <f>12*(B76-B75)/B75-'tassi 1 mese'!$D78</f>
        <v>-0.43642175356088986</v>
      </c>
      <c r="I76" s="10">
        <v>6.1961358643609528E-2</v>
      </c>
    </row>
    <row r="77" spans="1:9" x14ac:dyDescent="0.25">
      <c r="A77" s="9">
        <v>43922</v>
      </c>
      <c r="B77">
        <v>7486.29</v>
      </c>
      <c r="C77">
        <v>7360.58</v>
      </c>
      <c r="D77">
        <v>2470.5</v>
      </c>
      <c r="E77">
        <v>1592.32</v>
      </c>
      <c r="F77">
        <v>909.74</v>
      </c>
      <c r="G77">
        <v>920.51</v>
      </c>
      <c r="H77" s="2">
        <f>12*(B77-B76)/B76-'tassi 1 mese'!$D79</f>
        <v>-1.9710900677856895</v>
      </c>
      <c r="I77" s="10">
        <v>3.0354541039339485E-2</v>
      </c>
    </row>
    <row r="78" spans="1:9" x14ac:dyDescent="0.25">
      <c r="A78" s="9">
        <v>43952</v>
      </c>
      <c r="B78">
        <v>8718.18</v>
      </c>
      <c r="C78">
        <v>8604.9500000000007</v>
      </c>
      <c r="D78">
        <v>2830.71</v>
      </c>
      <c r="E78">
        <v>1851.37</v>
      </c>
      <c r="F78">
        <v>1022.5</v>
      </c>
      <c r="G78">
        <v>1025.1199999999999</v>
      </c>
      <c r="H78" s="2">
        <f>12*(B78-B77)/B77-'tassi 1 mese'!$D80</f>
        <v>1.8346336302761452</v>
      </c>
      <c r="I78" s="10">
        <v>6.7190754552173618E-2</v>
      </c>
    </row>
    <row r="79" spans="1:9" x14ac:dyDescent="0.25">
      <c r="A79" s="9">
        <v>43983</v>
      </c>
      <c r="B79">
        <v>9598.89</v>
      </c>
      <c r="C79">
        <v>9552.0499999999993</v>
      </c>
      <c r="D79">
        <v>3055.73</v>
      </c>
      <c r="E79">
        <v>2022.65</v>
      </c>
      <c r="F79">
        <v>1086.03</v>
      </c>
      <c r="G79">
        <v>1110.08</v>
      </c>
      <c r="H79" s="2">
        <f>12*(B79-B78)/B78-'tassi 1 mese'!$D81</f>
        <v>1.0522392517704371</v>
      </c>
      <c r="I79" s="10">
        <v>3.8192234245703373E-2</v>
      </c>
    </row>
    <row r="80" spans="1:9" x14ac:dyDescent="0.25">
      <c r="A80" s="9">
        <v>44013</v>
      </c>
      <c r="B80">
        <v>10279.25</v>
      </c>
      <c r="C80">
        <v>10154.629999999999</v>
      </c>
      <c r="D80">
        <v>3115.86</v>
      </c>
      <c r="E80">
        <v>2113.81</v>
      </c>
      <c r="F80">
        <v>1068.97</v>
      </c>
      <c r="G80">
        <v>1088.3599999999999</v>
      </c>
      <c r="H80" s="2">
        <f>12*(B80-B79)/B79-'tassi 1 mese'!$D82</f>
        <v>0.76054834465235122</v>
      </c>
      <c r="I80" s="10">
        <v>9.8195654842273231E-2</v>
      </c>
    </row>
    <row r="81" spans="1:9" x14ac:dyDescent="0.25">
      <c r="A81" s="9">
        <v>44044</v>
      </c>
      <c r="B81">
        <v>11055.08</v>
      </c>
      <c r="C81">
        <v>10902.8</v>
      </c>
      <c r="D81">
        <v>3294.61</v>
      </c>
      <c r="E81">
        <v>2261.7800000000002</v>
      </c>
      <c r="F81">
        <v>1110.3499999999999</v>
      </c>
      <c r="G81">
        <v>1123.23</v>
      </c>
      <c r="H81" s="2">
        <f>12*(B81-B80)/B80-'tassi 1 mese'!$D83</f>
        <v>0.79570420993749535</v>
      </c>
      <c r="I81" s="10">
        <v>5.5710306406685235E-2</v>
      </c>
    </row>
    <row r="82" spans="1:9" x14ac:dyDescent="0.25">
      <c r="A82" s="9">
        <v>44075</v>
      </c>
      <c r="B82">
        <v>12292.86</v>
      </c>
      <c r="C82">
        <v>11939.67</v>
      </c>
      <c r="D82">
        <v>3526.65</v>
      </c>
      <c r="E82">
        <v>2482.15</v>
      </c>
      <c r="F82">
        <v>1142.92</v>
      </c>
      <c r="G82">
        <v>1161.55</v>
      </c>
      <c r="H82" s="2">
        <f>12*(B82-B81)/B81-'tassi 1 mese'!$D84</f>
        <v>1.2435777941000885</v>
      </c>
      <c r="I82" s="10">
        <v>8.7006960556844551E-2</v>
      </c>
    </row>
    <row r="83" spans="1:9" x14ac:dyDescent="0.25">
      <c r="A83" s="9">
        <v>44105</v>
      </c>
      <c r="B83">
        <v>11583.2</v>
      </c>
      <c r="C83">
        <v>11326.51</v>
      </c>
      <c r="D83">
        <v>3380.8</v>
      </c>
      <c r="E83">
        <v>2355.4</v>
      </c>
      <c r="F83">
        <v>1113.5999999999999</v>
      </c>
      <c r="G83">
        <v>1095.46</v>
      </c>
      <c r="H83" s="2">
        <f>12*(B83-B82)/B82-'tassi 1 mese'!$D85</f>
        <v>-0.78275335438620441</v>
      </c>
      <c r="I83" s="10">
        <v>6.1846106272225941E-2</v>
      </c>
    </row>
    <row r="84" spans="1:9" x14ac:dyDescent="0.25">
      <c r="A84" s="9">
        <v>44136</v>
      </c>
      <c r="B84">
        <v>11084.76</v>
      </c>
      <c r="C84">
        <v>10957.61</v>
      </c>
      <c r="D84">
        <v>3310.24</v>
      </c>
      <c r="E84">
        <v>2278.35</v>
      </c>
      <c r="F84">
        <v>1111.24</v>
      </c>
      <c r="G84">
        <v>979.27</v>
      </c>
      <c r="H84" s="2">
        <f>12*(B84-B83)/B83-'tassi 1 mese'!$D86</f>
        <v>-0.5963754402928384</v>
      </c>
      <c r="I84" s="10">
        <v>5.0220411807376818E-2</v>
      </c>
    </row>
    <row r="85" spans="1:9" x14ac:dyDescent="0.25">
      <c r="A85" s="9">
        <v>44166</v>
      </c>
      <c r="B85">
        <v>12455.33</v>
      </c>
      <c r="C85">
        <v>12355.11</v>
      </c>
      <c r="D85">
        <v>3662.45</v>
      </c>
      <c r="E85">
        <v>2509.6799999999998</v>
      </c>
      <c r="F85">
        <v>1237.78</v>
      </c>
      <c r="G85">
        <v>1050.76</v>
      </c>
      <c r="H85" s="2">
        <f>12*(B85-B84)/B84-'tassi 1 mese'!$D87</f>
        <v>1.393734424561289</v>
      </c>
      <c r="I85" s="10">
        <v>0.16704450542894642</v>
      </c>
    </row>
    <row r="86" spans="1:9" x14ac:dyDescent="0.25">
      <c r="A86" s="9">
        <v>44197</v>
      </c>
      <c r="B86">
        <v>12888.28</v>
      </c>
      <c r="C86">
        <v>12888.28</v>
      </c>
      <c r="D86">
        <v>3756.07</v>
      </c>
      <c r="E86">
        <v>2577.2199999999998</v>
      </c>
      <c r="F86">
        <v>1267.18</v>
      </c>
      <c r="G86">
        <v>1098.94</v>
      </c>
      <c r="H86" s="2">
        <f>12*(B86-B85)/B85-'tassi 1 mese'!$D88</f>
        <v>0.35712262942852646</v>
      </c>
      <c r="I86" s="10">
        <v>7.0397747272087294E-2</v>
      </c>
    </row>
    <row r="87" spans="1:9" x14ac:dyDescent="0.25">
      <c r="A87" s="9">
        <v>44228</v>
      </c>
      <c r="B87">
        <v>13248.9</v>
      </c>
      <c r="C87">
        <v>13403.39</v>
      </c>
      <c r="D87">
        <v>3773.86</v>
      </c>
      <c r="E87">
        <v>2620.66</v>
      </c>
      <c r="F87">
        <v>1255.77</v>
      </c>
      <c r="G87">
        <v>1079.3399999999999</v>
      </c>
      <c r="H87" s="2">
        <f>12*(B87-B86)/B86-'tassi 1 mese'!$D89</f>
        <v>0.29576551719857014</v>
      </c>
      <c r="I87" s="10">
        <v>9.0991810737033663E-2</v>
      </c>
    </row>
    <row r="88" spans="1:9" x14ac:dyDescent="0.25">
      <c r="A88" s="9">
        <v>44256</v>
      </c>
      <c r="B88">
        <v>13282.95</v>
      </c>
      <c r="C88">
        <v>13588.83</v>
      </c>
      <c r="D88">
        <v>3901.82</v>
      </c>
      <c r="E88">
        <v>2627.15</v>
      </c>
      <c r="F88">
        <v>1344.18</v>
      </c>
      <c r="G88">
        <v>998.68</v>
      </c>
      <c r="H88" s="2">
        <f>12*(B88-B87)/B87-'tassi 1 mese'!$D90</f>
        <v>8.4029617553254415E-4</v>
      </c>
      <c r="I88" s="10">
        <v>6.3027858313374513E-2</v>
      </c>
    </row>
    <row r="89" spans="1:9" x14ac:dyDescent="0.25">
      <c r="A89" s="9">
        <v>44287</v>
      </c>
      <c r="B89">
        <v>13329.51</v>
      </c>
      <c r="C89">
        <v>13480.11</v>
      </c>
      <c r="D89">
        <v>4019.87</v>
      </c>
      <c r="E89">
        <v>2667.38</v>
      </c>
      <c r="F89">
        <v>1406.69</v>
      </c>
      <c r="G89">
        <v>1047.72</v>
      </c>
      <c r="H89" s="2">
        <f>12*(B89-B88)/B88-'tassi 1 mese'!$D91</f>
        <v>3.2062945354758829E-2</v>
      </c>
      <c r="I89" s="10">
        <v>1.8801704687891701E-2</v>
      </c>
    </row>
    <row r="90" spans="1:9" x14ac:dyDescent="0.25">
      <c r="A90" s="9">
        <v>44317</v>
      </c>
      <c r="B90">
        <v>13799.72</v>
      </c>
      <c r="C90">
        <v>13895.12</v>
      </c>
      <c r="D90">
        <v>4192.66</v>
      </c>
      <c r="E90">
        <v>2799.69</v>
      </c>
      <c r="F90">
        <v>1457.35</v>
      </c>
      <c r="G90">
        <v>1121.8599999999999</v>
      </c>
      <c r="H90" s="2">
        <f>12*(B90-B89)/B89-'tassi 1 mese'!$D92</f>
        <v>0.41331038425268368</v>
      </c>
      <c r="I90" s="10">
        <v>0.24335574767851426</v>
      </c>
    </row>
    <row r="91" spans="1:9" x14ac:dyDescent="0.25">
      <c r="A91" s="9">
        <v>44348</v>
      </c>
      <c r="B91">
        <v>13654.59</v>
      </c>
      <c r="C91">
        <v>13736.48</v>
      </c>
      <c r="D91">
        <v>4202.04</v>
      </c>
      <c r="E91">
        <v>2766.3</v>
      </c>
      <c r="F91">
        <v>1482.65</v>
      </c>
      <c r="G91">
        <v>1141.74</v>
      </c>
      <c r="H91" s="2">
        <f>12*(B91-B90)/B90-'tassi 1 mese'!$D93</f>
        <v>-0.17620256063166428</v>
      </c>
      <c r="I91" s="10">
        <v>0.16508712931825129</v>
      </c>
    </row>
    <row r="92" spans="1:9" x14ac:dyDescent="0.25">
      <c r="A92" s="9">
        <v>44378</v>
      </c>
      <c r="B92">
        <v>14560.05</v>
      </c>
      <c r="C92">
        <v>14522.38</v>
      </c>
      <c r="D92">
        <v>4319.9399999999996</v>
      </c>
      <c r="E92">
        <v>2945.75</v>
      </c>
      <c r="F92">
        <v>1467.57</v>
      </c>
      <c r="G92">
        <v>1190.96</v>
      </c>
      <c r="H92" s="2">
        <f>12*(B92-B91)/B91-'tassi 1 mese'!$D94</f>
        <v>0.73574121229564482</v>
      </c>
      <c r="I92" s="10">
        <v>0.20486864304651722</v>
      </c>
    </row>
    <row r="93" spans="1:9" x14ac:dyDescent="0.25">
      <c r="A93" s="9">
        <v>44409</v>
      </c>
      <c r="B93">
        <v>14963.62</v>
      </c>
      <c r="C93">
        <v>14681.07</v>
      </c>
      <c r="D93">
        <v>4387.16</v>
      </c>
      <c r="E93">
        <v>3040.81</v>
      </c>
      <c r="F93">
        <v>1463</v>
      </c>
      <c r="G93">
        <v>1163.4000000000001</v>
      </c>
      <c r="H93" s="2">
        <f>12*(B93-B92)/B92-'tassi 1 mese'!$D95</f>
        <v>0.29261149515283386</v>
      </c>
      <c r="I93" s="10">
        <v>0.10182651307834277</v>
      </c>
    </row>
    <row r="94" spans="1:9" x14ac:dyDescent="0.25">
      <c r="A94" s="9">
        <v>44440</v>
      </c>
      <c r="B94">
        <v>15611.57</v>
      </c>
      <c r="C94">
        <v>15309.38</v>
      </c>
      <c r="D94">
        <v>4524.09</v>
      </c>
      <c r="E94">
        <v>3175.61</v>
      </c>
      <c r="F94">
        <v>1486.46</v>
      </c>
      <c r="G94">
        <v>1143.6600000000001</v>
      </c>
      <c r="H94" s="2">
        <f>12*(B94-B93)/B93-'tassi 1 mese'!$D96</f>
        <v>0.47962025231862254</v>
      </c>
      <c r="I94" s="10">
        <v>7.7783761144019622E-2</v>
      </c>
    </row>
    <row r="95" spans="1:9" x14ac:dyDescent="0.25">
      <c r="A95" s="9">
        <v>44470</v>
      </c>
      <c r="B95">
        <v>14791.87</v>
      </c>
      <c r="C95">
        <v>14566.7</v>
      </c>
      <c r="D95">
        <v>4357.04</v>
      </c>
      <c r="E95">
        <v>3013.62</v>
      </c>
      <c r="F95">
        <v>1456.62</v>
      </c>
      <c r="G95">
        <v>1073.6099999999999</v>
      </c>
      <c r="H95" s="2">
        <f>12*(B95-B94)/B94-'tassi 1 mese'!$D97</f>
        <v>-0.68007115876237867</v>
      </c>
      <c r="I95" s="10">
        <v>5.404431633939831E-2</v>
      </c>
    </row>
    <row r="96" spans="1:9" x14ac:dyDescent="0.25">
      <c r="A96" s="9">
        <v>44501</v>
      </c>
      <c r="B96">
        <v>15905.28</v>
      </c>
      <c r="C96">
        <v>15595.92</v>
      </c>
      <c r="D96">
        <v>4613.67</v>
      </c>
      <c r="E96">
        <v>3251.07</v>
      </c>
      <c r="F96">
        <v>1508.87</v>
      </c>
      <c r="G96">
        <v>1119.1099999999999</v>
      </c>
      <c r="H96" s="2">
        <f>12*(B96-B95)/B95-'tassi 1 mese'!$D98</f>
        <v>0.85326104812981707</v>
      </c>
      <c r="I96" s="10">
        <v>4.9557083565632161E-2</v>
      </c>
    </row>
    <row r="97" spans="1:9" x14ac:dyDescent="0.25">
      <c r="A97" s="9">
        <v>44531</v>
      </c>
      <c r="B97">
        <v>15877.72</v>
      </c>
      <c r="C97">
        <v>15254.05</v>
      </c>
      <c r="D97">
        <v>4513.04</v>
      </c>
      <c r="E97">
        <v>3249.92</v>
      </c>
      <c r="F97">
        <v>1436.92</v>
      </c>
      <c r="G97">
        <v>1178.6600000000001</v>
      </c>
      <c r="H97" s="2">
        <f>12*(B97-B96)/B96-'tassi 1 mese'!$D99</f>
        <v>-8.0793095123129904E-2</v>
      </c>
      <c r="I97" s="10">
        <v>0.13371806601449784</v>
      </c>
    </row>
    <row r="98" spans="1:9" x14ac:dyDescent="0.25">
      <c r="A98" s="9">
        <v>44562</v>
      </c>
      <c r="B98">
        <v>16501.77</v>
      </c>
      <c r="C98">
        <v>15832.8</v>
      </c>
      <c r="D98">
        <v>4796.5600000000004</v>
      </c>
      <c r="E98">
        <v>3403.72</v>
      </c>
      <c r="F98">
        <v>1555.79</v>
      </c>
      <c r="G98">
        <v>1257.27</v>
      </c>
      <c r="H98" s="2">
        <f>12*(B98-B97)/B97-'tassi 1 mese'!$D100</f>
        <v>0.23164202416971791</v>
      </c>
      <c r="I98" s="10">
        <v>0.11627111688666986</v>
      </c>
    </row>
    <row r="99" spans="1:9" x14ac:dyDescent="0.25">
      <c r="A99" s="9">
        <v>44593</v>
      </c>
      <c r="B99">
        <v>15019.68</v>
      </c>
      <c r="C99">
        <v>14346</v>
      </c>
      <c r="D99">
        <v>4546.54</v>
      </c>
      <c r="E99">
        <v>3113.23</v>
      </c>
      <c r="F99">
        <v>1532.32</v>
      </c>
      <c r="G99">
        <v>1147.49</v>
      </c>
      <c r="H99" s="2">
        <f>12*(B99-B98)/B98-'tassi 1 mese'!$D101</f>
        <v>-1.4477680212486299</v>
      </c>
      <c r="I99" s="10">
        <v>0.11119832548403977</v>
      </c>
    </row>
    <row r="100" spans="1:9" x14ac:dyDescent="0.25">
      <c r="A100" s="9">
        <v>44621</v>
      </c>
      <c r="B100">
        <v>14005.99</v>
      </c>
      <c r="C100">
        <v>13532.46</v>
      </c>
      <c r="D100">
        <v>4306.26</v>
      </c>
      <c r="E100">
        <v>2905.62</v>
      </c>
      <c r="F100">
        <v>1473.31</v>
      </c>
      <c r="G100">
        <v>1115.6099999999999</v>
      </c>
      <c r="H100" s="2">
        <f>12*(B100-B99)/B99-'tassi 1 mese'!$D102</f>
        <v>-1.319889425074303</v>
      </c>
      <c r="I100" s="10">
        <v>0.18782649527498974</v>
      </c>
    </row>
    <row r="101" spans="1:9" x14ac:dyDescent="0.25">
      <c r="A101" s="9">
        <v>44652</v>
      </c>
      <c r="B101">
        <v>14861.21</v>
      </c>
      <c r="C101">
        <v>14261.5</v>
      </c>
      <c r="D101">
        <v>4545.8599999999997</v>
      </c>
      <c r="E101">
        <v>3086.18</v>
      </c>
      <c r="F101">
        <v>1545.63</v>
      </c>
      <c r="G101">
        <v>1196.33</v>
      </c>
      <c r="H101" s="2">
        <f>12*(B101-B100)/B100-'tassi 1 mese'!$D103</f>
        <v>-9.7267790423954836E-2</v>
      </c>
      <c r="I101" s="10">
        <v>7.3348002933920117E-2</v>
      </c>
    </row>
    <row r="102" spans="1:9" x14ac:dyDescent="0.25">
      <c r="A102" s="9">
        <v>44682</v>
      </c>
      <c r="B102">
        <v>13075.85</v>
      </c>
      <c r="C102">
        <v>12536.02</v>
      </c>
      <c r="D102">
        <v>4155.38</v>
      </c>
      <c r="E102">
        <v>2728.09</v>
      </c>
      <c r="F102">
        <v>1460.48</v>
      </c>
      <c r="G102">
        <v>1017.23</v>
      </c>
      <c r="H102" s="2">
        <f>12*(B102-B101)/B101-'tassi 1 mese'!$D104</f>
        <v>-2.5716268930995514</v>
      </c>
      <c r="I102" s="10">
        <v>5.8064516129032261E-2</v>
      </c>
    </row>
    <row r="103" spans="1:9" x14ac:dyDescent="0.25">
      <c r="A103" s="9">
        <v>44713</v>
      </c>
      <c r="B103">
        <v>12548.36</v>
      </c>
      <c r="C103">
        <v>11994.46</v>
      </c>
      <c r="D103">
        <v>4101.2299999999996</v>
      </c>
      <c r="E103">
        <v>2637.09</v>
      </c>
      <c r="F103">
        <v>1469.83</v>
      </c>
      <c r="G103">
        <v>962.91</v>
      </c>
      <c r="H103" s="2">
        <f>12*(B103-B102)/B102-'tassi 1 mese'!$D105</f>
        <v>-2.1440893708630795</v>
      </c>
      <c r="I103" s="10">
        <v>9.6761708166688165E-2</v>
      </c>
    </row>
    <row r="104" spans="1:9" x14ac:dyDescent="0.25">
      <c r="A104" s="9">
        <v>44743</v>
      </c>
      <c r="B104">
        <v>11585.68</v>
      </c>
      <c r="C104">
        <v>11127.85</v>
      </c>
      <c r="D104">
        <v>3825.33</v>
      </c>
      <c r="E104">
        <v>2453.7600000000002</v>
      </c>
      <c r="F104">
        <v>1373.99</v>
      </c>
      <c r="G104">
        <v>910.6</v>
      </c>
      <c r="H104" s="2">
        <f>12*(B104-B103)/B103-'tassi 1 mese'!$D106</f>
        <v>-3.2606111396230264</v>
      </c>
      <c r="I104" s="10">
        <v>5.6152172387169227E-2</v>
      </c>
    </row>
    <row r="105" spans="1:9" x14ac:dyDescent="0.25">
      <c r="A105" s="9">
        <v>44774</v>
      </c>
      <c r="B105">
        <v>12940.78</v>
      </c>
      <c r="C105">
        <v>12368.98</v>
      </c>
      <c r="D105">
        <v>4118.63</v>
      </c>
      <c r="E105">
        <v>2734.42</v>
      </c>
      <c r="F105">
        <v>1431.95</v>
      </c>
      <c r="G105">
        <v>988.06</v>
      </c>
      <c r="H105" s="2">
        <f>12*(B105-B104)/B104-'tassi 1 mese'!$D107</f>
        <v>-1.4664397428549725</v>
      </c>
      <c r="I105" s="10">
        <v>5.7753393011839446E-2</v>
      </c>
    </row>
    <row r="106" spans="1:9" x14ac:dyDescent="0.25">
      <c r="A106" s="9">
        <v>44805</v>
      </c>
      <c r="B106">
        <v>12274.62</v>
      </c>
      <c r="C106">
        <v>11785.13</v>
      </c>
      <c r="D106">
        <v>3966.85</v>
      </c>
      <c r="E106">
        <v>2600.88</v>
      </c>
      <c r="F106">
        <v>1395.96</v>
      </c>
      <c r="G106">
        <v>934.1</v>
      </c>
      <c r="H106" s="2">
        <f>12*(B106-B105)/B105-'tassi 1 mese'!$D108</f>
        <v>-3.8377309250292484</v>
      </c>
      <c r="I106" s="10">
        <v>6.7051092932814804E-2</v>
      </c>
    </row>
    <row r="107" spans="1:9" x14ac:dyDescent="0.25">
      <c r="A107" s="9">
        <v>44835</v>
      </c>
      <c r="B107">
        <v>11229.73</v>
      </c>
      <c r="C107">
        <v>10815.43</v>
      </c>
      <c r="D107">
        <v>3678.43</v>
      </c>
      <c r="E107">
        <v>2390.15</v>
      </c>
      <c r="F107">
        <v>1305.54</v>
      </c>
      <c r="G107">
        <v>895.23</v>
      </c>
      <c r="H107" s="2">
        <f>12*(B107-B106)/B106-'tassi 1 mese'!$D109</f>
        <v>-5.0815126822663359</v>
      </c>
      <c r="I107" s="10">
        <v>3.3633795237454592E-2</v>
      </c>
    </row>
    <row r="108" spans="1:9" ht="15.75" thickBot="1" x14ac:dyDescent="0.3">
      <c r="A108" s="11">
        <v>44866</v>
      </c>
      <c r="B108" s="12">
        <v>11288.95</v>
      </c>
      <c r="C108" s="12">
        <v>10890.85</v>
      </c>
      <c r="D108" s="12">
        <v>3856.1</v>
      </c>
      <c r="E108" s="12">
        <v>2411.79</v>
      </c>
      <c r="F108" s="12">
        <v>1416.8</v>
      </c>
      <c r="G108" s="12">
        <v>964.51</v>
      </c>
      <c r="H108" s="13">
        <f>12*(B108-B107)/B107-'tassi 1 mese'!$D110</f>
        <v>-4.2067179798623817</v>
      </c>
      <c r="I108" s="14">
        <v>9.856262833675565E-2</v>
      </c>
    </row>
    <row r="109" spans="1:9" x14ac:dyDescent="0.25">
      <c r="A109" s="1">
        <v>44896</v>
      </c>
      <c r="B109">
        <v>12041.89</v>
      </c>
      <c r="C109">
        <v>11482.45</v>
      </c>
      <c r="D109">
        <v>4076.57</v>
      </c>
      <c r="E109">
        <v>2560.25</v>
      </c>
      <c r="F109">
        <v>1492.38</v>
      </c>
      <c r="G109">
        <v>1019.24</v>
      </c>
      <c r="H109" s="2">
        <f>12*(B109-B108)/B108-'tassi 1 mese'!$D111</f>
        <v>-3.499635041345742</v>
      </c>
    </row>
    <row r="110" spans="1:9" x14ac:dyDescent="0.25">
      <c r="A110" s="1">
        <v>44927</v>
      </c>
      <c r="B110">
        <v>10939.76</v>
      </c>
      <c r="C110">
        <v>10466.48</v>
      </c>
      <c r="D110">
        <v>3839.5</v>
      </c>
      <c r="E110">
        <v>2361.04</v>
      </c>
      <c r="F110">
        <v>1434.59</v>
      </c>
      <c r="G110">
        <v>970.05</v>
      </c>
      <c r="H110" s="2">
        <f>12*(B110-B109)/B109-'tassi 1 mese'!$D112</f>
        <v>-5.6782960316030113</v>
      </c>
    </row>
    <row r="111" spans="1:9" x14ac:dyDescent="0.25">
      <c r="A111" s="1">
        <v>44958</v>
      </c>
      <c r="B111">
        <v>12363.1</v>
      </c>
      <c r="C111">
        <v>11816.32</v>
      </c>
      <c r="D111">
        <v>4119.21</v>
      </c>
      <c r="E111">
        <v>2519.41</v>
      </c>
      <c r="F111">
        <v>1548.09</v>
      </c>
      <c r="G111">
        <v>1037.54</v>
      </c>
      <c r="H111" s="2">
        <f>12*(B111-B110)/B110-'tassi 1 mese'!$D113</f>
        <v>-3.158715291743146</v>
      </c>
    </row>
    <row r="112" spans="1:9" x14ac:dyDescent="0.25">
      <c r="A112" s="1">
        <v>44986</v>
      </c>
      <c r="B112">
        <v>11938.57</v>
      </c>
      <c r="C112">
        <v>11379.48</v>
      </c>
      <c r="D112">
        <v>3951.39</v>
      </c>
      <c r="E112">
        <v>2429.69</v>
      </c>
      <c r="F112">
        <v>1476.5</v>
      </c>
      <c r="G112">
        <v>891.29</v>
      </c>
      <c r="H112" s="2">
        <f>12*(B112-B111)/B111-'tassi 1 mese'!$D114</f>
        <v>-5.0920616997355035</v>
      </c>
    </row>
    <row r="113" spans="1:8" x14ac:dyDescent="0.25">
      <c r="A113" s="1">
        <v>45017</v>
      </c>
      <c r="B113">
        <v>13148.35</v>
      </c>
      <c r="C113">
        <v>12189.45</v>
      </c>
      <c r="D113">
        <v>4124.51</v>
      </c>
      <c r="E113">
        <v>2596.4699999999998</v>
      </c>
      <c r="F113">
        <v>1501.36</v>
      </c>
      <c r="G113">
        <v>961.53</v>
      </c>
      <c r="H113" s="2">
        <f>12*(B113-B112)/B112-'tassi 1 mese'!$D115</f>
        <v>-3.7339950680860432</v>
      </c>
    </row>
    <row r="114" spans="1:8" x14ac:dyDescent="0.25">
      <c r="A114" s="1">
        <v>45047</v>
      </c>
      <c r="B114">
        <v>13231.47</v>
      </c>
      <c r="C114">
        <v>12212.6</v>
      </c>
      <c r="D114">
        <v>4167.87</v>
      </c>
      <c r="E114">
        <v>2615.6</v>
      </c>
      <c r="F114">
        <v>1522.53</v>
      </c>
      <c r="G114">
        <v>990.97</v>
      </c>
      <c r="H114" s="2">
        <f>12*(B114-B113)/B113-'tassi 1 mese'!$D116</f>
        <v>-5.1841395308156546</v>
      </c>
    </row>
    <row r="115" spans="1:8" x14ac:dyDescent="0.25">
      <c r="A115" s="1">
        <v>45078</v>
      </c>
      <c r="B115">
        <v>14441.51</v>
      </c>
      <c r="C115">
        <v>13100.98</v>
      </c>
      <c r="D115">
        <v>4221.0200000000004</v>
      </c>
      <c r="E115">
        <v>2705.68</v>
      </c>
      <c r="F115">
        <v>1504.45</v>
      </c>
      <c r="G115">
        <v>1053.6099999999999</v>
      </c>
      <c r="H115" s="2">
        <f>12*(B115-B114)/B114-'tassi 1 mese'!$D117</f>
        <v>-4.0725799854437934</v>
      </c>
    </row>
    <row r="116" spans="1:8" x14ac:dyDescent="0.25">
      <c r="A116" s="1">
        <v>45108</v>
      </c>
      <c r="B116">
        <v>15208.69</v>
      </c>
      <c r="C116">
        <v>13816.77</v>
      </c>
      <c r="D116">
        <v>4455.59</v>
      </c>
      <c r="E116">
        <v>2843.83</v>
      </c>
      <c r="F116">
        <v>1596.12</v>
      </c>
      <c r="G116">
        <v>1051.96</v>
      </c>
      <c r="H116" s="2">
        <f>12*(B116-B115)/B115-'tassi 1 mese'!$D118</f>
        <v>-4.6425209552186715</v>
      </c>
    </row>
    <row r="117" spans="1:8" x14ac:dyDescent="0.25">
      <c r="A117" s="1">
        <v>45139</v>
      </c>
      <c r="B117">
        <v>15718.01</v>
      </c>
      <c r="C117">
        <v>14283.91</v>
      </c>
      <c r="D117">
        <v>4576.7299999999996</v>
      </c>
      <c r="E117">
        <v>2919.05</v>
      </c>
      <c r="F117">
        <v>1640.9</v>
      </c>
      <c r="G117">
        <v>1032.47</v>
      </c>
      <c r="H117" s="2">
        <f>12*(B117-B116)/B116-'tassi 1 mese'!$D119</f>
        <v>-4.9181350136007778</v>
      </c>
    </row>
    <row r="118" spans="1:8" x14ac:dyDescent="0.25">
      <c r="A118" s="1">
        <v>45170</v>
      </c>
      <c r="B118">
        <v>15490.86</v>
      </c>
      <c r="C118">
        <v>14031.81</v>
      </c>
      <c r="D118">
        <v>4515.7700000000004</v>
      </c>
      <c r="E118">
        <v>2908.7</v>
      </c>
      <c r="F118">
        <v>1600.1</v>
      </c>
      <c r="G118">
        <v>1068.22</v>
      </c>
      <c r="H118" s="2">
        <f>12*(B118-B117)/B117-'tassi 1 mese'!$D120</f>
        <v>-5.4934188997207665</v>
      </c>
    </row>
    <row r="119" spans="1:8" x14ac:dyDescent="0.25">
      <c r="A119" s="1">
        <v>45200</v>
      </c>
      <c r="B119">
        <v>14837.57</v>
      </c>
      <c r="C119">
        <v>13307.77</v>
      </c>
      <c r="D119">
        <v>4288.3900000000003</v>
      </c>
      <c r="E119">
        <v>2774.4</v>
      </c>
      <c r="F119">
        <v>1511.4</v>
      </c>
      <c r="G119">
        <v>1067.3499999999999</v>
      </c>
      <c r="H119" s="2">
        <f>12*(B119-B118)/B118-'tassi 1 mese'!$D121</f>
        <v>-5.8360713220570073</v>
      </c>
    </row>
    <row r="120" spans="1:8" x14ac:dyDescent="0.25">
      <c r="A120" s="1">
        <v>45231</v>
      </c>
      <c r="B120">
        <v>14664.91</v>
      </c>
      <c r="C120">
        <v>13061.47</v>
      </c>
      <c r="D120">
        <v>4237.8599999999997</v>
      </c>
      <c r="E120">
        <v>2725.14</v>
      </c>
      <c r="F120">
        <v>1504.68</v>
      </c>
      <c r="G120">
        <v>1031.73</v>
      </c>
      <c r="H120" s="2">
        <f>12*(B120-B119)/B119-'tassi 1 mese'!$D122</f>
        <v>-5.3896401162724086</v>
      </c>
    </row>
    <row r="121" spans="1:8" x14ac:dyDescent="0.25">
      <c r="A121" s="1">
        <v>45261</v>
      </c>
      <c r="B121">
        <v>15997.58</v>
      </c>
      <c r="C121">
        <v>14305.03</v>
      </c>
      <c r="D121">
        <v>4594.63</v>
      </c>
      <c r="E121">
        <v>2933.95</v>
      </c>
      <c r="F121">
        <v>1645.14</v>
      </c>
      <c r="G121">
        <v>1153.71</v>
      </c>
      <c r="H121" s="2">
        <f>12*(B121-B120)/B120-'tassi 1 mese'!$D123</f>
        <v>-4.1095030245668065</v>
      </c>
    </row>
    <row r="122" spans="1:8" x14ac:dyDescent="0.25">
      <c r="A122" s="1">
        <v>45292</v>
      </c>
      <c r="B122">
        <v>16825.93</v>
      </c>
      <c r="C122">
        <v>15011.35</v>
      </c>
      <c r="D122">
        <v>4769.83</v>
      </c>
      <c r="E122">
        <v>3030.31</v>
      </c>
      <c r="F122">
        <v>1718.22</v>
      </c>
      <c r="G122">
        <v>1131.77</v>
      </c>
      <c r="H122" s="2">
        <f>12*(B122-B121)/B121-'tassi 1 mese'!$D124</f>
        <v>-4.5986435198323736</v>
      </c>
    </row>
    <row r="123" spans="1:8" x14ac:dyDescent="0.25">
      <c r="A123" s="1">
        <v>45323</v>
      </c>
      <c r="B123">
        <v>17344.71</v>
      </c>
      <c r="C123">
        <v>15361.64</v>
      </c>
      <c r="D123">
        <v>4906.1899999999996</v>
      </c>
      <c r="E123">
        <v>3165.12</v>
      </c>
      <c r="F123">
        <v>1736.17</v>
      </c>
      <c r="G123">
        <v>1142.76</v>
      </c>
      <c r="H123" s="2">
        <f>12*(B123-B122)/B122-'tassi 1 mese'!$D125</f>
        <v>-4.8800139130496802</v>
      </c>
    </row>
    <row r="124" spans="1:8" x14ac:dyDescent="0.25">
      <c r="A124" s="1">
        <v>45352</v>
      </c>
      <c r="B124">
        <v>18302.91</v>
      </c>
      <c r="C124">
        <v>16274.94</v>
      </c>
      <c r="D124">
        <v>5137.08</v>
      </c>
      <c r="E124">
        <v>3381.62</v>
      </c>
      <c r="F124">
        <v>1774.19</v>
      </c>
      <c r="G124">
        <v>1063.6199999999999</v>
      </c>
      <c r="H124" s="2">
        <f>12*(B124-B123)/B123-'tassi 1 mese'!$D126</f>
        <v>-4.5670658834883948</v>
      </c>
    </row>
    <row r="125" spans="1:8" x14ac:dyDescent="0.25">
      <c r="A125" s="1">
        <v>45383</v>
      </c>
      <c r="B125">
        <v>18293.2</v>
      </c>
      <c r="C125">
        <v>16396.830000000002</v>
      </c>
      <c r="D125">
        <v>5243.77</v>
      </c>
      <c r="E125">
        <v>3414.84</v>
      </c>
      <c r="F125">
        <v>1834.98</v>
      </c>
      <c r="G125">
        <v>1042.99</v>
      </c>
      <c r="H125" s="2">
        <f>12*(B125-B124)/B124-'tassi 1 mese'!$D127</f>
        <v>-5.2563662007844645</v>
      </c>
    </row>
    <row r="126" spans="1:8" x14ac:dyDescent="0.25">
      <c r="A126" s="1">
        <v>45413</v>
      </c>
      <c r="B126">
        <v>17318.55</v>
      </c>
      <c r="C126">
        <v>15605.48</v>
      </c>
      <c r="D126">
        <v>5018.3900000000003</v>
      </c>
      <c r="E126">
        <v>3261.2</v>
      </c>
      <c r="F126">
        <v>1760.57</v>
      </c>
      <c r="G126">
        <v>952.38</v>
      </c>
      <c r="H126" s="2">
        <f>12*(B126-B125)/B125-'tassi 1 mese'!$D128</f>
        <v>-5.8893523276408732</v>
      </c>
    </row>
    <row r="127" spans="1:8" x14ac:dyDescent="0.25">
      <c r="A127" s="1">
        <v>45444</v>
      </c>
      <c r="B127">
        <v>18600.97</v>
      </c>
      <c r="C127">
        <v>16828.669999999998</v>
      </c>
      <c r="D127">
        <v>5283.4</v>
      </c>
      <c r="E127">
        <v>3509.67</v>
      </c>
      <c r="F127">
        <v>1804.03</v>
      </c>
      <c r="G127">
        <v>915.68</v>
      </c>
      <c r="H127" s="2">
        <f>12*(B127-B126)/B126-'tassi 1 mese'!$D129</f>
        <v>-4.3314129069696925</v>
      </c>
    </row>
    <row r="128" spans="1:8" x14ac:dyDescent="0.25">
      <c r="A128" s="1">
        <v>45474</v>
      </c>
      <c r="B128">
        <v>19812.22</v>
      </c>
      <c r="C128">
        <v>17879.3</v>
      </c>
      <c r="D128">
        <v>5475.09</v>
      </c>
      <c r="E128">
        <v>3761.52</v>
      </c>
      <c r="F128">
        <v>1787.46</v>
      </c>
      <c r="G128">
        <v>927.22</v>
      </c>
      <c r="H128" s="2">
        <f>12*(B128-B127)/B127-'tassi 1 mese'!$D130</f>
        <v>-4.3685891380933359</v>
      </c>
    </row>
    <row r="129" spans="1:8" x14ac:dyDescent="0.25">
      <c r="A129" s="1">
        <v>45505</v>
      </c>
      <c r="B129">
        <v>18890.39</v>
      </c>
      <c r="C129">
        <v>17194.150000000001</v>
      </c>
      <c r="D129">
        <v>5446.68</v>
      </c>
      <c r="E129">
        <v>3611.54</v>
      </c>
      <c r="F129">
        <v>1866.31</v>
      </c>
      <c r="G129">
        <v>964.93</v>
      </c>
      <c r="H129" s="2">
        <f>12*(B129-B128)/B128-'tassi 1 mese'!$D131</f>
        <v>-5.5383402566698745</v>
      </c>
    </row>
    <row r="130" spans="1:8" x14ac:dyDescent="0.25">
      <c r="A130" s="1">
        <v>45536</v>
      </c>
      <c r="B130">
        <v>19574.64</v>
      </c>
      <c r="C130">
        <v>17713.62</v>
      </c>
      <c r="D130">
        <v>5648.4</v>
      </c>
      <c r="E130">
        <v>3759.89</v>
      </c>
      <c r="F130">
        <v>1930.28</v>
      </c>
      <c r="G130">
        <v>1045.7</v>
      </c>
      <c r="H130" s="2">
        <f>12*(B130-B129)/B129-'tassi 1 mese'!$D132</f>
        <v>-4.0853345431195436</v>
      </c>
    </row>
    <row r="131" spans="1:8" x14ac:dyDescent="0.25">
      <c r="A131" s="1">
        <v>45566</v>
      </c>
      <c r="B131">
        <v>19773.3</v>
      </c>
      <c r="C131">
        <v>17910.36</v>
      </c>
      <c r="D131">
        <v>5708.75</v>
      </c>
      <c r="E131">
        <v>3810.02</v>
      </c>
      <c r="F131">
        <v>1942.13</v>
      </c>
      <c r="G131">
        <v>1006.62</v>
      </c>
      <c r="H131" s="2">
        <f>12*(B131-B130)/B130-'tassi 1 mese'!$D133</f>
        <v>-4.3182138522087765</v>
      </c>
    </row>
    <row r="132" spans="1:8" x14ac:dyDescent="0.25">
      <c r="A132" s="1">
        <v>45597</v>
      </c>
      <c r="B132">
        <v>20033.14</v>
      </c>
      <c r="C132">
        <v>18239.919999999998</v>
      </c>
      <c r="D132">
        <v>5728.8</v>
      </c>
      <c r="E132">
        <v>3864.51</v>
      </c>
      <c r="F132">
        <v>1921.72</v>
      </c>
      <c r="G132">
        <v>1019.56</v>
      </c>
      <c r="H132" s="2">
        <f>12*(B132-B131)/B131-'tassi 1 mese'!$D134</f>
        <v>-4.2323085676139032</v>
      </c>
    </row>
    <row r="133" spans="1:8" x14ac:dyDescent="0.25">
      <c r="A133" s="1">
        <v>45627</v>
      </c>
      <c r="B133">
        <v>21164.6</v>
      </c>
      <c r="C133">
        <v>19403.95</v>
      </c>
      <c r="D133">
        <v>6047.15</v>
      </c>
      <c r="E133">
        <v>4098.6899999999996</v>
      </c>
      <c r="F133">
        <v>2015.63</v>
      </c>
      <c r="G133">
        <v>1130.0899999999999</v>
      </c>
      <c r="H133" s="2">
        <f>12*(B133-B132)/B132-'tassi 1 mese'!$D135</f>
        <v>-3.5522470366602548</v>
      </c>
    </row>
  </sheetData>
  <dataValidations count="1">
    <dataValidation allowBlank="1" showErrorMessage="1" promptTitle="TRAFO" prompt="$A$1:$G$135" sqref="A1" xr:uid="{35B7CBB6-7F17-49A0-A22B-90E3F8EDD2FB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9AD3-76A7-4A01-9235-D26A086FBBD3}">
  <sheetPr codeName="Foglio6"/>
  <dimension ref="A1:E135"/>
  <sheetViews>
    <sheetView workbookViewId="0">
      <selection activeCell="C9" sqref="C9"/>
    </sheetView>
  </sheetViews>
  <sheetFormatPr defaultRowHeight="15" x14ac:dyDescent="0.25"/>
  <cols>
    <col min="1" max="1" width="10.7109375" bestFit="1" customWidth="1"/>
    <col min="2" max="2" width="68.5703125" bestFit="1" customWidth="1"/>
    <col min="3" max="3" width="69" bestFit="1" customWidth="1"/>
    <col min="4" max="4" width="41.28515625" style="2" bestFit="1" customWidth="1"/>
  </cols>
  <sheetData>
    <row r="1" spans="1:5" x14ac:dyDescent="0.25">
      <c r="A1" t="s">
        <v>0</v>
      </c>
      <c r="B1" t="s">
        <v>21</v>
      </c>
      <c r="C1" t="s">
        <v>22</v>
      </c>
      <c r="D1" s="2" t="s">
        <v>24</v>
      </c>
    </row>
    <row r="2" spans="1:5" x14ac:dyDescent="0.25">
      <c r="A2" t="s">
        <v>3</v>
      </c>
      <c r="B2" t="s">
        <v>20</v>
      </c>
      <c r="C2" t="s">
        <v>23</v>
      </c>
      <c r="D2" s="2" t="s">
        <v>25</v>
      </c>
    </row>
    <row r="3" spans="1:5" x14ac:dyDescent="0.25">
      <c r="A3" t="s">
        <v>1</v>
      </c>
      <c r="B3" t="s">
        <v>2</v>
      </c>
      <c r="C3" t="s">
        <v>2</v>
      </c>
      <c r="D3" s="2" t="s">
        <v>2</v>
      </c>
    </row>
    <row r="4" spans="1:5" x14ac:dyDescent="0.25">
      <c r="A4" s="1">
        <v>41654</v>
      </c>
      <c r="B4">
        <v>0.02</v>
      </c>
      <c r="C4">
        <v>7.0000000000000007E-2</v>
      </c>
      <c r="D4" s="2">
        <v>0.02</v>
      </c>
    </row>
    <row r="5" spans="1:5" x14ac:dyDescent="0.25">
      <c r="A5" s="1">
        <v>41685</v>
      </c>
      <c r="B5">
        <v>0.05</v>
      </c>
      <c r="C5">
        <v>7.0000000000000007E-2</v>
      </c>
      <c r="D5" s="2">
        <v>0.05</v>
      </c>
    </row>
    <row r="6" spans="1:5" x14ac:dyDescent="0.25">
      <c r="A6" s="1">
        <v>41713</v>
      </c>
      <c r="B6">
        <v>0.05</v>
      </c>
      <c r="C6">
        <v>7.0000000000000007E-2</v>
      </c>
      <c r="D6" s="2">
        <v>0.05</v>
      </c>
    </row>
    <row r="7" spans="1:5" x14ac:dyDescent="0.25">
      <c r="A7" s="1">
        <v>41744</v>
      </c>
      <c r="B7">
        <v>0.02</v>
      </c>
      <c r="C7">
        <v>7.0000000000000007E-2</v>
      </c>
      <c r="D7" s="2">
        <v>0.03</v>
      </c>
    </row>
    <row r="8" spans="1:5" x14ac:dyDescent="0.25">
      <c r="A8" s="1">
        <v>41774</v>
      </c>
      <c r="B8">
        <v>0.03</v>
      </c>
      <c r="C8">
        <v>7.0000000000000007E-2</v>
      </c>
      <c r="D8" s="2">
        <v>0.04</v>
      </c>
    </row>
    <row r="9" spans="1:5" x14ac:dyDescent="0.25">
      <c r="A9" s="1">
        <v>41805</v>
      </c>
      <c r="B9">
        <v>0.02</v>
      </c>
      <c r="C9">
        <v>7.0000000000000007E-2</v>
      </c>
      <c r="D9" s="2">
        <v>0.04</v>
      </c>
    </row>
    <row r="10" spans="1:5" x14ac:dyDescent="0.25">
      <c r="A10" s="1">
        <v>41835</v>
      </c>
      <c r="B10">
        <v>0.02</v>
      </c>
      <c r="C10">
        <v>0.08</v>
      </c>
      <c r="D10" s="2">
        <v>0.03</v>
      </c>
    </row>
    <row r="11" spans="1:5" x14ac:dyDescent="0.25">
      <c r="A11" s="1">
        <v>41866</v>
      </c>
      <c r="B11">
        <v>0.03</v>
      </c>
      <c r="C11">
        <v>0.09</v>
      </c>
      <c r="D11" s="2">
        <v>0.03</v>
      </c>
    </row>
    <row r="12" spans="1:5" x14ac:dyDescent="0.25">
      <c r="A12" s="1">
        <v>41897</v>
      </c>
      <c r="B12">
        <v>0.01</v>
      </c>
      <c r="C12">
        <v>0.09</v>
      </c>
      <c r="D12" s="2">
        <v>0.02</v>
      </c>
    </row>
    <row r="13" spans="1:5" x14ac:dyDescent="0.25">
      <c r="A13" s="1">
        <v>41927</v>
      </c>
      <c r="B13">
        <v>0.02</v>
      </c>
      <c r="C13">
        <v>0.08</v>
      </c>
      <c r="D13" s="2">
        <v>0.01</v>
      </c>
    </row>
    <row r="14" spans="1:5" x14ac:dyDescent="0.25">
      <c r="A14" s="1">
        <v>41958</v>
      </c>
      <c r="B14">
        <v>0.04</v>
      </c>
      <c r="C14">
        <v>0.09</v>
      </c>
      <c r="D14" s="2">
        <v>0.02</v>
      </c>
    </row>
    <row r="15" spans="1:5" x14ac:dyDescent="0.25">
      <c r="A15" s="1">
        <v>41988</v>
      </c>
      <c r="B15">
        <v>0.03</v>
      </c>
      <c r="C15">
        <v>0.11</v>
      </c>
      <c r="D15" s="2">
        <v>0.04</v>
      </c>
    </row>
    <row r="16" spans="1:5" x14ac:dyDescent="0.25">
      <c r="A16" s="1">
        <v>42019</v>
      </c>
      <c r="B16">
        <v>0.02</v>
      </c>
      <c r="C16">
        <v>0.12</v>
      </c>
      <c r="D16" s="2">
        <v>0.02</v>
      </c>
    </row>
    <row r="17" spans="1:4" x14ac:dyDescent="0.25">
      <c r="A17" s="1">
        <v>42050</v>
      </c>
      <c r="B17">
        <v>0.02</v>
      </c>
      <c r="C17">
        <v>0.1</v>
      </c>
      <c r="D17" s="2">
        <v>0.02</v>
      </c>
    </row>
    <row r="18" spans="1:4" x14ac:dyDescent="0.25">
      <c r="A18" s="1">
        <v>42078</v>
      </c>
      <c r="B18">
        <v>0.02</v>
      </c>
      <c r="C18">
        <v>0.09</v>
      </c>
      <c r="D18" s="2">
        <v>0.03</v>
      </c>
    </row>
    <row r="19" spans="1:4" x14ac:dyDescent="0.25">
      <c r="A19" s="1">
        <v>42109</v>
      </c>
      <c r="B19">
        <v>0.02</v>
      </c>
      <c r="C19">
        <v>0.08</v>
      </c>
      <c r="D19" s="2">
        <v>0.01</v>
      </c>
    </row>
    <row r="20" spans="1:4" x14ac:dyDescent="0.25">
      <c r="A20" s="1">
        <v>42139</v>
      </c>
      <c r="B20">
        <v>0.01</v>
      </c>
      <c r="C20">
        <v>0.09</v>
      </c>
      <c r="D20" s="2">
        <v>0.01</v>
      </c>
    </row>
    <row r="21" spans="1:4" x14ac:dyDescent="0.25">
      <c r="A21" s="1">
        <v>42170</v>
      </c>
      <c r="B21">
        <v>0</v>
      </c>
      <c r="C21">
        <v>0.11</v>
      </c>
      <c r="D21" s="2">
        <v>0.01</v>
      </c>
    </row>
    <row r="22" spans="1:4" x14ac:dyDescent="0.25">
      <c r="A22" s="1">
        <v>42200</v>
      </c>
      <c r="B22">
        <v>0.03</v>
      </c>
      <c r="C22">
        <v>0.11</v>
      </c>
      <c r="D22" s="2">
        <v>0.08</v>
      </c>
    </row>
    <row r="23" spans="1:4" x14ac:dyDescent="0.25">
      <c r="A23" s="1">
        <v>42231</v>
      </c>
      <c r="B23">
        <v>0.03</v>
      </c>
      <c r="C23">
        <v>0.13</v>
      </c>
      <c r="D23" s="2">
        <v>0.08</v>
      </c>
    </row>
    <row r="24" spans="1:4" x14ac:dyDescent="0.25">
      <c r="A24" s="1">
        <v>42262</v>
      </c>
      <c r="B24">
        <v>0</v>
      </c>
      <c r="C24">
        <v>0.15</v>
      </c>
      <c r="D24" s="2">
        <v>-0.01</v>
      </c>
    </row>
    <row r="25" spans="1:4" x14ac:dyDescent="0.25">
      <c r="A25" s="1">
        <v>42292</v>
      </c>
      <c r="B25">
        <v>0.01</v>
      </c>
      <c r="C25">
        <v>0.13</v>
      </c>
      <c r="D25" s="2">
        <v>0.08</v>
      </c>
    </row>
    <row r="26" spans="1:4" x14ac:dyDescent="0.25">
      <c r="A26" s="1">
        <v>42323</v>
      </c>
      <c r="B26">
        <v>7.0000000000000007E-2</v>
      </c>
      <c r="C26">
        <v>0.13</v>
      </c>
      <c r="D26" s="2">
        <v>0.22</v>
      </c>
    </row>
    <row r="27" spans="1:4" x14ac:dyDescent="0.25">
      <c r="A27" s="1">
        <v>42353</v>
      </c>
      <c r="B27">
        <v>0.17</v>
      </c>
      <c r="C27">
        <v>0.3</v>
      </c>
      <c r="D27" s="2">
        <v>0.16</v>
      </c>
    </row>
    <row r="28" spans="1:4" x14ac:dyDescent="0.25">
      <c r="A28" s="1">
        <v>42384</v>
      </c>
      <c r="B28">
        <v>0.22</v>
      </c>
      <c r="C28">
        <v>0.38</v>
      </c>
      <c r="D28" s="2">
        <v>0.32</v>
      </c>
    </row>
    <row r="29" spans="1:4" x14ac:dyDescent="0.25">
      <c r="A29" s="1">
        <v>42415</v>
      </c>
      <c r="B29">
        <v>0.25</v>
      </c>
      <c r="C29">
        <v>0.41</v>
      </c>
      <c r="D29" s="2">
        <v>0.33</v>
      </c>
    </row>
    <row r="30" spans="1:4" x14ac:dyDescent="0.25">
      <c r="A30" s="1">
        <v>42444</v>
      </c>
      <c r="B30">
        <v>0.25</v>
      </c>
      <c r="C30">
        <v>0.41</v>
      </c>
      <c r="D30" s="2">
        <v>0.21</v>
      </c>
    </row>
    <row r="31" spans="1:4" x14ac:dyDescent="0.25">
      <c r="A31" s="1">
        <v>42475</v>
      </c>
      <c r="B31">
        <v>0.19</v>
      </c>
      <c r="C31">
        <v>0.41</v>
      </c>
      <c r="D31" s="2">
        <v>0.22</v>
      </c>
    </row>
    <row r="32" spans="1:4" x14ac:dyDescent="0.25">
      <c r="A32" s="1">
        <v>42505</v>
      </c>
      <c r="B32">
        <v>0.22</v>
      </c>
      <c r="C32">
        <v>0.38</v>
      </c>
      <c r="D32" s="2">
        <v>0.34</v>
      </c>
    </row>
    <row r="33" spans="1:4" x14ac:dyDescent="0.25">
      <c r="A33" s="1">
        <v>42536</v>
      </c>
      <c r="B33">
        <v>0.22</v>
      </c>
      <c r="C33">
        <v>0.39</v>
      </c>
      <c r="D33" s="2">
        <v>0.26</v>
      </c>
    </row>
    <row r="34" spans="1:4" x14ac:dyDescent="0.25">
      <c r="A34" s="1">
        <v>42566</v>
      </c>
      <c r="B34">
        <v>0.26</v>
      </c>
      <c r="C34">
        <v>0.4</v>
      </c>
      <c r="D34" s="2">
        <v>0.27</v>
      </c>
    </row>
    <row r="35" spans="1:4" x14ac:dyDescent="0.25">
      <c r="A35" s="1">
        <v>42597</v>
      </c>
      <c r="B35">
        <v>0.26</v>
      </c>
      <c r="C35">
        <v>0.42</v>
      </c>
      <c r="D35" s="2">
        <v>0.33</v>
      </c>
    </row>
    <row r="36" spans="1:4" x14ac:dyDescent="0.25">
      <c r="A36" s="1">
        <v>42628</v>
      </c>
      <c r="B36">
        <v>0.18</v>
      </c>
      <c r="C36">
        <v>0.45</v>
      </c>
      <c r="D36" s="2">
        <v>0.28000000000000003</v>
      </c>
    </row>
    <row r="37" spans="1:4" x14ac:dyDescent="0.25">
      <c r="A37" s="1">
        <v>42658</v>
      </c>
      <c r="B37">
        <v>0.24</v>
      </c>
      <c r="C37">
        <v>0.46</v>
      </c>
      <c r="D37" s="2">
        <v>0.34</v>
      </c>
    </row>
    <row r="38" spans="1:4" x14ac:dyDescent="0.25">
      <c r="A38" s="1">
        <v>42689</v>
      </c>
      <c r="B38">
        <v>0.28999999999999998</v>
      </c>
      <c r="C38">
        <v>0.48</v>
      </c>
      <c r="D38" s="2">
        <v>0.48</v>
      </c>
    </row>
    <row r="39" spans="1:4" x14ac:dyDescent="0.25">
      <c r="A39" s="1">
        <v>42719</v>
      </c>
      <c r="B39">
        <v>0.41</v>
      </c>
      <c r="C39">
        <v>0.61</v>
      </c>
      <c r="D39" s="2">
        <v>0.5</v>
      </c>
    </row>
    <row r="40" spans="1:4" x14ac:dyDescent="0.25">
      <c r="A40" s="1">
        <v>42750</v>
      </c>
      <c r="B40">
        <v>0.49</v>
      </c>
      <c r="C40">
        <v>0.71</v>
      </c>
      <c r="D40" s="2">
        <v>0.52</v>
      </c>
    </row>
    <row r="41" spans="1:4" x14ac:dyDescent="0.25">
      <c r="A41" s="1">
        <v>42781</v>
      </c>
      <c r="B41">
        <v>0.47</v>
      </c>
      <c r="C41">
        <v>0.71</v>
      </c>
      <c r="D41" s="2">
        <v>0.53</v>
      </c>
    </row>
    <row r="42" spans="1:4" x14ac:dyDescent="0.25">
      <c r="A42" s="1">
        <v>42809</v>
      </c>
      <c r="B42">
        <v>0.65</v>
      </c>
      <c r="C42">
        <v>0.83</v>
      </c>
      <c r="D42" s="2">
        <v>0.75</v>
      </c>
    </row>
    <row r="43" spans="1:4" x14ac:dyDescent="0.25">
      <c r="A43" s="1">
        <v>42840</v>
      </c>
      <c r="B43">
        <v>0.73</v>
      </c>
      <c r="C43">
        <v>0.91</v>
      </c>
      <c r="D43" s="2">
        <v>0.79</v>
      </c>
    </row>
    <row r="44" spans="1:4" x14ac:dyDescent="0.25">
      <c r="A44" s="1">
        <v>42870</v>
      </c>
      <c r="B44">
        <v>0.71</v>
      </c>
      <c r="C44">
        <v>0.95</v>
      </c>
      <c r="D44" s="2">
        <v>0.96</v>
      </c>
    </row>
    <row r="45" spans="1:4" x14ac:dyDescent="0.25">
      <c r="A45" s="1">
        <v>42901</v>
      </c>
      <c r="B45">
        <v>0.82</v>
      </c>
      <c r="C45">
        <v>1.08</v>
      </c>
      <c r="D45" s="2">
        <v>1.01</v>
      </c>
    </row>
    <row r="46" spans="1:4" x14ac:dyDescent="0.25">
      <c r="A46" s="1">
        <v>42931</v>
      </c>
      <c r="B46">
        <v>0.95</v>
      </c>
      <c r="C46">
        <v>1.1499999999999999</v>
      </c>
      <c r="D46" s="2">
        <v>1.05</v>
      </c>
    </row>
    <row r="47" spans="1:4" x14ac:dyDescent="0.25">
      <c r="A47" s="1">
        <v>42962</v>
      </c>
      <c r="B47">
        <v>0.96</v>
      </c>
      <c r="C47">
        <v>1.1599999999999999</v>
      </c>
      <c r="D47" s="2">
        <v>0.99</v>
      </c>
    </row>
    <row r="48" spans="1:4" x14ac:dyDescent="0.25">
      <c r="A48" s="1">
        <v>42993</v>
      </c>
      <c r="B48">
        <v>0.98</v>
      </c>
      <c r="C48">
        <v>1.1499999999999999</v>
      </c>
      <c r="D48" s="2">
        <v>1.04</v>
      </c>
    </row>
    <row r="49" spans="1:4" x14ac:dyDescent="0.25">
      <c r="A49" s="1">
        <v>43023</v>
      </c>
      <c r="B49">
        <v>0.98</v>
      </c>
      <c r="C49">
        <v>1.1599999999999999</v>
      </c>
      <c r="D49" s="2">
        <v>1.1299999999999999</v>
      </c>
    </row>
    <row r="50" spans="1:4" x14ac:dyDescent="0.25">
      <c r="A50" s="1">
        <v>43054</v>
      </c>
      <c r="B50">
        <v>1.07</v>
      </c>
      <c r="C50">
        <v>1.2</v>
      </c>
      <c r="D50" s="2">
        <v>1.25</v>
      </c>
    </row>
    <row r="51" spans="1:4" x14ac:dyDescent="0.25">
      <c r="A51" s="1">
        <v>43084</v>
      </c>
      <c r="B51">
        <v>1.18</v>
      </c>
      <c r="C51">
        <v>1.4</v>
      </c>
      <c r="D51" s="2">
        <v>1.37</v>
      </c>
    </row>
    <row r="52" spans="1:4" x14ac:dyDescent="0.25">
      <c r="A52" s="1">
        <v>43115</v>
      </c>
      <c r="B52">
        <v>1.27</v>
      </c>
      <c r="C52">
        <v>1.46</v>
      </c>
      <c r="D52" s="2">
        <v>1.44</v>
      </c>
    </row>
    <row r="53" spans="1:4" x14ac:dyDescent="0.25">
      <c r="A53" s="1">
        <v>43146</v>
      </c>
      <c r="B53">
        <v>1.36</v>
      </c>
      <c r="C53">
        <v>1.51</v>
      </c>
      <c r="D53" s="2">
        <v>1.63</v>
      </c>
    </row>
    <row r="54" spans="1:4" x14ac:dyDescent="0.25">
      <c r="A54" s="1">
        <v>43174</v>
      </c>
      <c r="B54">
        <v>1.61</v>
      </c>
      <c r="C54">
        <v>1.72</v>
      </c>
      <c r="D54" s="2">
        <v>1.7</v>
      </c>
    </row>
    <row r="55" spans="1:4" x14ac:dyDescent="0.25">
      <c r="A55" s="1">
        <v>43205</v>
      </c>
      <c r="B55">
        <v>1.63</v>
      </c>
      <c r="C55">
        <v>1.82</v>
      </c>
      <c r="D55" s="2">
        <v>1.84</v>
      </c>
    </row>
    <row r="56" spans="1:4" x14ac:dyDescent="0.25">
      <c r="A56" s="1">
        <v>43235</v>
      </c>
      <c r="B56">
        <v>1.67</v>
      </c>
      <c r="C56">
        <v>1.82</v>
      </c>
      <c r="D56" s="2">
        <v>1.89</v>
      </c>
    </row>
    <row r="57" spans="1:4" x14ac:dyDescent="0.25">
      <c r="A57" s="1">
        <v>43266</v>
      </c>
      <c r="B57">
        <v>1.77</v>
      </c>
      <c r="C57">
        <v>1.91</v>
      </c>
      <c r="D57" s="2">
        <v>1.89</v>
      </c>
    </row>
    <row r="58" spans="1:4" x14ac:dyDescent="0.25">
      <c r="A58" s="1">
        <v>43296</v>
      </c>
      <c r="B58">
        <v>1.86</v>
      </c>
      <c r="C58">
        <v>1.96</v>
      </c>
      <c r="D58" s="2">
        <v>1.99</v>
      </c>
    </row>
    <row r="59" spans="1:4" x14ac:dyDescent="0.25">
      <c r="A59" s="1">
        <v>43327</v>
      </c>
      <c r="B59">
        <v>1.91</v>
      </c>
      <c r="C59">
        <v>1.98</v>
      </c>
      <c r="D59" s="2">
        <v>2.0699999999999998</v>
      </c>
    </row>
    <row r="60" spans="1:4" x14ac:dyDescent="0.25">
      <c r="A60" s="1">
        <v>43358</v>
      </c>
      <c r="B60">
        <v>2</v>
      </c>
      <c r="C60">
        <v>2.0299999999999998</v>
      </c>
      <c r="D60" s="2">
        <v>2.15</v>
      </c>
    </row>
    <row r="61" spans="1:4" x14ac:dyDescent="0.25">
      <c r="A61" s="1">
        <v>43388</v>
      </c>
      <c r="B61">
        <v>2.14</v>
      </c>
      <c r="C61">
        <v>2.21</v>
      </c>
      <c r="D61" s="2">
        <v>2.29</v>
      </c>
    </row>
    <row r="62" spans="1:4" x14ac:dyDescent="0.25">
      <c r="A62" s="1">
        <v>43419</v>
      </c>
      <c r="B62">
        <v>2.19</v>
      </c>
      <c r="C62">
        <v>2.2999999999999998</v>
      </c>
      <c r="D62" s="2">
        <v>2.3199999999999998</v>
      </c>
    </row>
    <row r="63" spans="1:4" x14ac:dyDescent="0.25">
      <c r="A63" s="1">
        <v>43449</v>
      </c>
      <c r="B63">
        <v>2.3199999999999998</v>
      </c>
      <c r="C63">
        <v>2.38</v>
      </c>
      <c r="D63" s="2">
        <v>2.4</v>
      </c>
    </row>
    <row r="64" spans="1:4" x14ac:dyDescent="0.25">
      <c r="A64" s="1">
        <v>43480</v>
      </c>
      <c r="B64">
        <v>2.36</v>
      </c>
      <c r="C64">
        <v>2.4300000000000002</v>
      </c>
      <c r="D64" s="2">
        <v>2.36</v>
      </c>
    </row>
    <row r="65" spans="1:4" x14ac:dyDescent="0.25">
      <c r="A65" s="1">
        <v>43511</v>
      </c>
      <c r="B65">
        <v>2.39</v>
      </c>
      <c r="C65">
        <v>2.41</v>
      </c>
      <c r="D65" s="2">
        <v>2.4</v>
      </c>
    </row>
    <row r="66" spans="1:4" x14ac:dyDescent="0.25">
      <c r="A66" s="1">
        <v>43539</v>
      </c>
      <c r="B66">
        <v>2.41</v>
      </c>
      <c r="C66">
        <v>2.4300000000000002</v>
      </c>
      <c r="D66" s="2">
        <v>2.35</v>
      </c>
    </row>
    <row r="67" spans="1:4" x14ac:dyDescent="0.25">
      <c r="A67" s="1">
        <v>43570</v>
      </c>
      <c r="B67">
        <v>2.38</v>
      </c>
      <c r="C67">
        <v>2.42</v>
      </c>
      <c r="D67" s="2">
        <v>2.38</v>
      </c>
    </row>
    <row r="68" spans="1:4" x14ac:dyDescent="0.25">
      <c r="A68" s="1">
        <v>43600</v>
      </c>
      <c r="B68">
        <v>2.36</v>
      </c>
      <c r="C68">
        <v>2.41</v>
      </c>
      <c r="D68" s="2">
        <v>2.2999999999999998</v>
      </c>
    </row>
    <row r="69" spans="1:4" x14ac:dyDescent="0.25">
      <c r="A69" s="1">
        <v>43631</v>
      </c>
      <c r="B69">
        <v>2.1800000000000002</v>
      </c>
      <c r="C69">
        <v>2.34</v>
      </c>
      <c r="D69" s="2">
        <v>2.08</v>
      </c>
    </row>
    <row r="70" spans="1:4" x14ac:dyDescent="0.25">
      <c r="A70" s="1">
        <v>43661</v>
      </c>
      <c r="B70">
        <v>2.11</v>
      </c>
      <c r="C70">
        <v>2.2999999999999998</v>
      </c>
      <c r="D70" s="2">
        <v>2.04</v>
      </c>
    </row>
    <row r="71" spans="1:4" x14ac:dyDescent="0.25">
      <c r="A71" s="1">
        <v>43692</v>
      </c>
      <c r="B71">
        <v>2.0299999999999998</v>
      </c>
      <c r="C71">
        <v>2.09</v>
      </c>
      <c r="D71" s="2">
        <v>1.95</v>
      </c>
    </row>
    <row r="72" spans="1:4" x14ac:dyDescent="0.25">
      <c r="A72" s="1">
        <v>43723</v>
      </c>
      <c r="B72">
        <v>1.95</v>
      </c>
      <c r="C72">
        <v>2.02</v>
      </c>
      <c r="D72" s="2">
        <v>1.84</v>
      </c>
    </row>
    <row r="73" spans="1:4" x14ac:dyDescent="0.25">
      <c r="A73" s="1">
        <v>43753</v>
      </c>
      <c r="B73">
        <v>1.7</v>
      </c>
      <c r="C73">
        <v>1.83</v>
      </c>
      <c r="D73" s="2">
        <v>1.51</v>
      </c>
    </row>
    <row r="74" spans="1:4" x14ac:dyDescent="0.25">
      <c r="A74" s="1">
        <v>43784</v>
      </c>
      <c r="B74">
        <v>1.55</v>
      </c>
      <c r="C74">
        <v>1.61</v>
      </c>
      <c r="D74" s="2">
        <v>1.56</v>
      </c>
    </row>
    <row r="75" spans="1:4" x14ac:dyDescent="0.25">
      <c r="A75" s="1">
        <v>43814</v>
      </c>
      <c r="B75">
        <v>1.52</v>
      </c>
      <c r="C75">
        <v>1.65</v>
      </c>
      <c r="D75" s="2">
        <v>1.52</v>
      </c>
    </row>
    <row r="76" spans="1:4" x14ac:dyDescent="0.25">
      <c r="A76" s="1">
        <v>43845</v>
      </c>
      <c r="B76">
        <v>1.5</v>
      </c>
      <c r="C76">
        <v>1.57</v>
      </c>
      <c r="D76" s="2">
        <v>1.52</v>
      </c>
    </row>
    <row r="77" spans="1:4" x14ac:dyDescent="0.25">
      <c r="A77" s="1">
        <v>43876</v>
      </c>
      <c r="B77">
        <v>1.55</v>
      </c>
      <c r="C77">
        <v>1.58</v>
      </c>
      <c r="D77" s="2">
        <v>1.25</v>
      </c>
    </row>
    <row r="78" spans="1:4" x14ac:dyDescent="0.25">
      <c r="A78" s="1">
        <v>43905</v>
      </c>
      <c r="B78">
        <v>0.36</v>
      </c>
      <c r="C78">
        <v>1.44</v>
      </c>
      <c r="D78" s="2">
        <v>0.11</v>
      </c>
    </row>
    <row r="79" spans="1:4" x14ac:dyDescent="0.25">
      <c r="A79" s="1">
        <v>43936</v>
      </c>
      <c r="B79">
        <v>0.11</v>
      </c>
      <c r="C79">
        <v>0.1</v>
      </c>
      <c r="D79" s="2">
        <v>0.09</v>
      </c>
    </row>
    <row r="80" spans="1:4" x14ac:dyDescent="0.25">
      <c r="A80" s="1">
        <v>43966</v>
      </c>
      <c r="B80">
        <v>0.1</v>
      </c>
      <c r="C80">
        <v>0.08</v>
      </c>
      <c r="D80" s="2">
        <v>0.14000000000000001</v>
      </c>
    </row>
    <row r="81" spans="1:4" x14ac:dyDescent="0.25">
      <c r="A81" s="1">
        <v>43997</v>
      </c>
      <c r="B81">
        <v>0.13</v>
      </c>
      <c r="C81">
        <v>0.11</v>
      </c>
      <c r="D81" s="2">
        <v>0.16</v>
      </c>
    </row>
    <row r="82" spans="1:4" x14ac:dyDescent="0.25">
      <c r="A82" s="1">
        <v>44027</v>
      </c>
      <c r="B82">
        <v>0.11</v>
      </c>
      <c r="C82">
        <v>0.12</v>
      </c>
      <c r="D82" s="2">
        <v>0.09</v>
      </c>
    </row>
    <row r="83" spans="1:4" x14ac:dyDescent="0.25">
      <c r="A83" s="1">
        <v>44058</v>
      </c>
      <c r="B83">
        <v>0.08</v>
      </c>
      <c r="C83">
        <v>0.1</v>
      </c>
      <c r="D83" s="2">
        <v>0.11</v>
      </c>
    </row>
    <row r="84" spans="1:4" x14ac:dyDescent="0.25">
      <c r="A84" s="1">
        <v>44089</v>
      </c>
      <c r="B84">
        <v>0.09</v>
      </c>
      <c r="C84">
        <v>0.09</v>
      </c>
      <c r="D84" s="2">
        <v>0.1</v>
      </c>
    </row>
    <row r="85" spans="1:4" x14ac:dyDescent="0.25">
      <c r="A85" s="1">
        <v>44119</v>
      </c>
      <c r="B85">
        <v>0.09</v>
      </c>
      <c r="C85">
        <v>0.09</v>
      </c>
      <c r="D85" s="2">
        <v>0.09</v>
      </c>
    </row>
    <row r="86" spans="1:4" x14ac:dyDescent="0.25">
      <c r="A86" s="1">
        <v>44150</v>
      </c>
      <c r="B86">
        <v>0.09</v>
      </c>
      <c r="C86">
        <v>0.13</v>
      </c>
      <c r="D86" s="2">
        <v>0.08</v>
      </c>
    </row>
    <row r="87" spans="1:4" x14ac:dyDescent="0.25">
      <c r="A87" s="1">
        <v>44180</v>
      </c>
      <c r="B87">
        <v>0.08</v>
      </c>
      <c r="C87">
        <v>0.11</v>
      </c>
      <c r="D87" s="2">
        <v>0.09</v>
      </c>
    </row>
    <row r="88" spans="1:4" x14ac:dyDescent="0.25">
      <c r="A88" s="1">
        <v>44211</v>
      </c>
      <c r="B88">
        <v>0.08</v>
      </c>
      <c r="C88">
        <v>0.1</v>
      </c>
      <c r="D88" s="2">
        <v>0.06</v>
      </c>
    </row>
    <row r="89" spans="1:4" x14ac:dyDescent="0.25">
      <c r="A89" s="1">
        <v>44242</v>
      </c>
      <c r="B89">
        <v>0.04</v>
      </c>
      <c r="C89">
        <v>0.09</v>
      </c>
      <c r="D89" s="2">
        <v>0.04</v>
      </c>
    </row>
    <row r="90" spans="1:4" x14ac:dyDescent="0.25">
      <c r="A90" s="1">
        <v>44270</v>
      </c>
      <c r="B90">
        <v>0.02</v>
      </c>
      <c r="C90">
        <v>0.08</v>
      </c>
      <c r="D90" s="2">
        <v>0.03</v>
      </c>
    </row>
    <row r="91" spans="1:4" x14ac:dyDescent="0.25">
      <c r="A91" s="1">
        <v>44301</v>
      </c>
      <c r="B91">
        <v>0.02</v>
      </c>
      <c r="C91">
        <v>0.08</v>
      </c>
      <c r="D91" s="2">
        <v>0.01</v>
      </c>
    </row>
    <row r="92" spans="1:4" x14ac:dyDescent="0.25">
      <c r="A92" s="1">
        <v>44331</v>
      </c>
      <c r="B92">
        <v>0.01</v>
      </c>
      <c r="C92">
        <v>0.06</v>
      </c>
      <c r="D92" s="2">
        <v>0.01</v>
      </c>
    </row>
    <row r="93" spans="1:4" x14ac:dyDescent="0.25">
      <c r="A93" s="1">
        <v>44362</v>
      </c>
      <c r="B93">
        <v>0.03</v>
      </c>
      <c r="C93">
        <v>0.06</v>
      </c>
      <c r="D93" s="2">
        <v>0.05</v>
      </c>
    </row>
    <row r="94" spans="1:4" x14ac:dyDescent="0.25">
      <c r="A94" s="1">
        <v>44392</v>
      </c>
      <c r="B94">
        <v>0.05</v>
      </c>
      <c r="C94">
        <v>0.08</v>
      </c>
      <c r="D94" s="2">
        <v>0.06</v>
      </c>
    </row>
    <row r="95" spans="1:4" x14ac:dyDescent="0.25">
      <c r="A95" s="1">
        <v>44423</v>
      </c>
      <c r="B95">
        <v>0.04</v>
      </c>
      <c r="C95">
        <v>0.08</v>
      </c>
      <c r="D95" s="2">
        <v>0.04</v>
      </c>
    </row>
    <row r="96" spans="1:4" x14ac:dyDescent="0.25">
      <c r="A96" s="1">
        <v>44454</v>
      </c>
      <c r="B96">
        <v>0.05</v>
      </c>
      <c r="C96">
        <v>0.08</v>
      </c>
      <c r="D96" s="2">
        <v>0.04</v>
      </c>
    </row>
    <row r="97" spans="1:4" x14ac:dyDescent="0.25">
      <c r="A97" s="1">
        <v>44484</v>
      </c>
      <c r="B97">
        <v>0.05</v>
      </c>
      <c r="C97">
        <v>0.08</v>
      </c>
      <c r="D97" s="2">
        <v>0.05</v>
      </c>
    </row>
    <row r="98" spans="1:4" x14ac:dyDescent="0.25">
      <c r="A98" s="1">
        <v>44515</v>
      </c>
      <c r="B98">
        <v>7.0000000000000007E-2</v>
      </c>
      <c r="C98">
        <v>0.11</v>
      </c>
      <c r="D98" s="2">
        <v>0.05</v>
      </c>
    </row>
    <row r="99" spans="1:4" x14ac:dyDescent="0.25">
      <c r="A99" s="1">
        <v>44545</v>
      </c>
      <c r="B99">
        <v>0.04</v>
      </c>
      <c r="C99">
        <v>0.08</v>
      </c>
      <c r="D99" s="2">
        <v>0.06</v>
      </c>
    </row>
    <row r="100" spans="1:4" x14ac:dyDescent="0.25">
      <c r="A100" s="1">
        <v>44576</v>
      </c>
      <c r="B100">
        <v>0.05</v>
      </c>
      <c r="C100">
        <v>0.1</v>
      </c>
      <c r="D100" s="2">
        <v>0.24</v>
      </c>
    </row>
    <row r="101" spans="1:4" x14ac:dyDescent="0.25">
      <c r="A101" s="1">
        <v>44607</v>
      </c>
      <c r="B101">
        <v>0.04</v>
      </c>
      <c r="C101">
        <v>0.15</v>
      </c>
      <c r="D101" s="2">
        <v>0.37</v>
      </c>
    </row>
    <row r="102" spans="1:4" x14ac:dyDescent="0.25">
      <c r="A102" s="1">
        <v>44635</v>
      </c>
      <c r="B102">
        <v>0.17</v>
      </c>
      <c r="C102">
        <v>0.36</v>
      </c>
      <c r="D102" s="2">
        <v>0.51</v>
      </c>
    </row>
    <row r="103" spans="1:4" x14ac:dyDescent="0.25">
      <c r="A103" s="1">
        <v>44666</v>
      </c>
      <c r="B103">
        <v>0.3</v>
      </c>
      <c r="C103">
        <v>0.5</v>
      </c>
      <c r="D103" s="2">
        <v>0.83</v>
      </c>
    </row>
    <row r="104" spans="1:4" x14ac:dyDescent="0.25">
      <c r="A104" s="1">
        <v>44696</v>
      </c>
      <c r="B104">
        <v>0.56000000000000005</v>
      </c>
      <c r="C104">
        <v>0.91</v>
      </c>
      <c r="D104" s="2">
        <v>1.1299999999999999</v>
      </c>
    </row>
    <row r="105" spans="1:4" x14ac:dyDescent="0.25">
      <c r="A105" s="1">
        <v>44727</v>
      </c>
      <c r="B105">
        <v>1.03</v>
      </c>
      <c r="C105">
        <v>1.4</v>
      </c>
      <c r="D105" s="2">
        <v>1.66</v>
      </c>
    </row>
    <row r="106" spans="1:4" x14ac:dyDescent="0.25">
      <c r="A106" s="1">
        <v>44757</v>
      </c>
      <c r="B106">
        <v>1.8</v>
      </c>
      <c r="C106">
        <v>2.0299999999999998</v>
      </c>
      <c r="D106" s="2">
        <v>2.34</v>
      </c>
    </row>
    <row r="107" spans="1:4" x14ac:dyDescent="0.25">
      <c r="A107" s="1">
        <v>44788</v>
      </c>
      <c r="B107">
        <v>2.19</v>
      </c>
      <c r="C107">
        <v>2.38</v>
      </c>
      <c r="D107" s="2">
        <v>2.87</v>
      </c>
    </row>
    <row r="108" spans="1:4" x14ac:dyDescent="0.25">
      <c r="A108" s="1">
        <v>44819</v>
      </c>
      <c r="B108">
        <v>2.52</v>
      </c>
      <c r="C108">
        <v>2.79</v>
      </c>
      <c r="D108" s="2">
        <v>3.22</v>
      </c>
    </row>
    <row r="109" spans="1:4" x14ac:dyDescent="0.25">
      <c r="A109" s="1">
        <v>44849</v>
      </c>
      <c r="B109">
        <v>3.18</v>
      </c>
      <c r="C109">
        <v>3.32</v>
      </c>
      <c r="D109" s="2">
        <v>4.0599999999999996</v>
      </c>
    </row>
    <row r="110" spans="1:4" x14ac:dyDescent="0.25">
      <c r="A110" s="1">
        <v>44880</v>
      </c>
      <c r="B110">
        <v>3.72</v>
      </c>
      <c r="C110">
        <v>3.9</v>
      </c>
      <c r="D110" s="2">
        <v>4.2699999999999996</v>
      </c>
    </row>
    <row r="111" spans="1:4" x14ac:dyDescent="0.25">
      <c r="A111" s="1">
        <v>44910</v>
      </c>
      <c r="B111">
        <v>3.72</v>
      </c>
      <c r="C111">
        <v>4.21</v>
      </c>
      <c r="D111" s="2">
        <v>4.3</v>
      </c>
    </row>
    <row r="112" spans="1:4" x14ac:dyDescent="0.25">
      <c r="A112" s="1">
        <v>44941</v>
      </c>
      <c r="B112">
        <v>4.33</v>
      </c>
      <c r="C112">
        <v>4.45</v>
      </c>
      <c r="D112" s="2">
        <v>4.58</v>
      </c>
    </row>
    <row r="113" spans="1:4" x14ac:dyDescent="0.25">
      <c r="A113" s="1">
        <v>44972</v>
      </c>
      <c r="B113">
        <v>4.51</v>
      </c>
      <c r="C113">
        <v>4.5999999999999996</v>
      </c>
      <c r="D113" s="2">
        <v>4.72</v>
      </c>
    </row>
    <row r="114" spans="1:4" x14ac:dyDescent="0.25">
      <c r="A114" s="1">
        <v>45000</v>
      </c>
      <c r="B114">
        <v>4.33</v>
      </c>
      <c r="C114">
        <v>4.74</v>
      </c>
      <c r="D114" s="2">
        <v>4.68</v>
      </c>
    </row>
    <row r="115" spans="1:4" x14ac:dyDescent="0.25">
      <c r="A115" s="1">
        <v>45031</v>
      </c>
      <c r="B115">
        <v>4.0199999999999996</v>
      </c>
      <c r="C115">
        <v>4.87</v>
      </c>
      <c r="D115" s="2">
        <v>4.95</v>
      </c>
    </row>
    <row r="116" spans="1:4" x14ac:dyDescent="0.25">
      <c r="A116" s="1">
        <v>45061</v>
      </c>
      <c r="B116">
        <v>5.31</v>
      </c>
      <c r="C116">
        <v>5.08</v>
      </c>
      <c r="D116" s="2">
        <v>5.26</v>
      </c>
    </row>
    <row r="117" spans="1:4" x14ac:dyDescent="0.25">
      <c r="A117" s="1">
        <v>45092</v>
      </c>
      <c r="B117">
        <v>5.04</v>
      </c>
      <c r="C117">
        <v>5.13</v>
      </c>
      <c r="D117" s="2">
        <v>5.17</v>
      </c>
    </row>
    <row r="118" spans="1:4" x14ac:dyDescent="0.25">
      <c r="A118" s="1">
        <v>45122</v>
      </c>
      <c r="B118">
        <v>5.2</v>
      </c>
      <c r="C118">
        <v>5.22</v>
      </c>
      <c r="D118" s="2">
        <v>5.28</v>
      </c>
    </row>
    <row r="119" spans="1:4" x14ac:dyDescent="0.25">
      <c r="A119" s="1">
        <v>45153</v>
      </c>
      <c r="B119">
        <v>5.28</v>
      </c>
      <c r="C119">
        <v>5.37</v>
      </c>
      <c r="D119" s="2">
        <v>5.32</v>
      </c>
    </row>
    <row r="120" spans="1:4" x14ac:dyDescent="0.25">
      <c r="A120" s="1">
        <v>45184</v>
      </c>
      <c r="B120">
        <v>5.29</v>
      </c>
      <c r="C120">
        <v>5.38</v>
      </c>
      <c r="D120" s="2">
        <v>5.32</v>
      </c>
    </row>
    <row r="121" spans="1:4" x14ac:dyDescent="0.25">
      <c r="A121" s="1">
        <v>45214</v>
      </c>
      <c r="B121">
        <v>5.3</v>
      </c>
      <c r="C121">
        <v>5.38</v>
      </c>
      <c r="D121" s="2">
        <v>5.33</v>
      </c>
    </row>
    <row r="122" spans="1:4" x14ac:dyDescent="0.25">
      <c r="A122" s="1">
        <v>45245</v>
      </c>
      <c r="B122">
        <v>5.29</v>
      </c>
      <c r="C122">
        <v>5.37</v>
      </c>
      <c r="D122" s="2">
        <v>5.25</v>
      </c>
    </row>
    <row r="123" spans="1:4" x14ac:dyDescent="0.25">
      <c r="A123" s="1">
        <v>45275</v>
      </c>
      <c r="B123">
        <v>5.27</v>
      </c>
      <c r="C123">
        <v>5.33</v>
      </c>
      <c r="D123" s="2">
        <v>5.2</v>
      </c>
    </row>
    <row r="124" spans="1:4" x14ac:dyDescent="0.25">
      <c r="A124" s="1">
        <v>45306</v>
      </c>
      <c r="B124">
        <v>5.28</v>
      </c>
      <c r="C124">
        <v>5.31</v>
      </c>
      <c r="D124" s="2">
        <v>5.22</v>
      </c>
    </row>
    <row r="125" spans="1:4" x14ac:dyDescent="0.25">
      <c r="A125" s="1">
        <v>45337</v>
      </c>
      <c r="B125">
        <v>5.28</v>
      </c>
      <c r="C125">
        <v>5.32</v>
      </c>
      <c r="D125" s="2">
        <v>5.25</v>
      </c>
    </row>
    <row r="126" spans="1:4" x14ac:dyDescent="0.25">
      <c r="A126" s="1">
        <v>45366</v>
      </c>
      <c r="B126">
        <v>5.28</v>
      </c>
      <c r="C126">
        <v>5.31</v>
      </c>
      <c r="D126" s="2">
        <v>5.23</v>
      </c>
    </row>
    <row r="127" spans="1:4" x14ac:dyDescent="0.25">
      <c r="A127" s="1">
        <v>45397</v>
      </c>
      <c r="B127">
        <v>5.28</v>
      </c>
      <c r="C127">
        <v>5.33</v>
      </c>
      <c r="D127" s="2">
        <v>5.25</v>
      </c>
    </row>
    <row r="128" spans="1:4" x14ac:dyDescent="0.25">
      <c r="A128" s="1">
        <v>45427</v>
      </c>
      <c r="B128">
        <v>5.27</v>
      </c>
      <c r="C128">
        <v>5.32</v>
      </c>
      <c r="D128" s="2">
        <v>5.25</v>
      </c>
    </row>
    <row r="129" spans="1:4" x14ac:dyDescent="0.25">
      <c r="A129" s="1">
        <v>45458</v>
      </c>
      <c r="B129">
        <v>5.25</v>
      </c>
      <c r="C129">
        <v>5.32</v>
      </c>
      <c r="D129" s="2">
        <v>5.22</v>
      </c>
    </row>
    <row r="130" spans="1:4" x14ac:dyDescent="0.25">
      <c r="A130" s="1">
        <v>45488</v>
      </c>
      <c r="B130">
        <v>5.28</v>
      </c>
      <c r="C130">
        <v>5.32</v>
      </c>
      <c r="D130" s="2">
        <v>5.15</v>
      </c>
    </row>
    <row r="131" spans="1:4" x14ac:dyDescent="0.25">
      <c r="A131" s="1">
        <v>45519</v>
      </c>
      <c r="B131">
        <v>5.25</v>
      </c>
      <c r="C131">
        <v>5.25</v>
      </c>
      <c r="D131" s="2">
        <v>4.9800000000000004</v>
      </c>
    </row>
    <row r="132" spans="1:4" x14ac:dyDescent="0.25">
      <c r="A132" s="1">
        <v>45550</v>
      </c>
      <c r="B132">
        <v>4.8600000000000003</v>
      </c>
      <c r="C132">
        <v>5.07</v>
      </c>
      <c r="D132" s="2">
        <v>4.5199999999999996</v>
      </c>
    </row>
    <row r="133" spans="1:4" x14ac:dyDescent="0.25">
      <c r="A133" s="1">
        <v>45580</v>
      </c>
      <c r="B133">
        <v>4.71</v>
      </c>
      <c r="C133">
        <v>4.76</v>
      </c>
      <c r="D133" s="2">
        <v>4.4400000000000004</v>
      </c>
    </row>
    <row r="134" spans="1:4" x14ac:dyDescent="0.25">
      <c r="A134" s="1">
        <v>45611</v>
      </c>
      <c r="B134">
        <v>4.53</v>
      </c>
      <c r="C134">
        <v>4.6100000000000003</v>
      </c>
      <c r="D134" s="2">
        <v>4.3899999999999997</v>
      </c>
    </row>
    <row r="135" spans="1:4" x14ac:dyDescent="0.25">
      <c r="A135" s="1">
        <v>45641</v>
      </c>
      <c r="B135" t="s">
        <v>2</v>
      </c>
      <c r="C135" t="s">
        <v>2</v>
      </c>
      <c r="D135" s="2">
        <v>4.2300000000000004</v>
      </c>
    </row>
  </sheetData>
  <dataValidations count="1">
    <dataValidation allowBlank="1" showErrorMessage="1" promptTitle="TRAFO" prompt="$A$1:$D$135" sqref="A1" xr:uid="{734674D2-3530-466E-B5C9-6C26E9A26ED9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prezzi mensili</vt:lpstr>
      <vt:lpstr>regressione</vt:lpstr>
      <vt:lpstr>indici</vt:lpstr>
      <vt:lpstr>tassi 1 mese</vt:lpstr>
    </vt:vector>
  </TitlesOfParts>
  <Company>Thomson Reuters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Thomson Reuters Datastrem - DFO - Request Table Template</dc:title>
  <dc:creator>umberto cherubini</dc:creator>
  <cp:lastModifiedBy>Giovanni Della Lunga</cp:lastModifiedBy>
  <dcterms:created xsi:type="dcterms:W3CDTF">2011-08-01T12:44:02Z</dcterms:created>
  <dcterms:modified xsi:type="dcterms:W3CDTF">2025-01-08T11:18:53Z</dcterms:modified>
</cp:coreProperties>
</file>